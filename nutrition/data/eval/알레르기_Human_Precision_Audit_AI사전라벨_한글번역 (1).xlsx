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autoCompressPictures="0"/>
  <xr:revisionPtr revIDLastSave="0" documentId="8_{B8B3F384-B520-4395-81D7-4F4562A58C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검토하기" sheetId="1" r:id="rId1"/>
    <sheet name="원본데이터" sheetId="2" r:id="rId2"/>
    <sheet name="검토가이드" sheetId="3" r:id="rId3"/>
    <sheet name="AI 사전라벨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2" i="1"/>
  <c r="D2" i="1"/>
  <c r="B2" i="1"/>
</calcChain>
</file>

<file path=xl/sharedStrings.xml><?xml version="1.0" encoding="utf-8"?>
<sst xmlns="http://schemas.openxmlformats.org/spreadsheetml/2006/main" count="1765" uniqueCount="412">
  <si>
    <t>알레르기 매핑 Human Precision Audit — 검토용</t>
  </si>
  <si>
    <t>진행</t>
  </si>
  <si>
    <t>CORRECT</t>
  </si>
  <si>
    <t>INCORRECT</t>
  </si>
  <si>
    <t>AMBIGUOUS</t>
  </si>
  <si>
    <t>판정: 원문이 시스템 판정 알레르겐을 실제로 의미하면 CORRECT / 명확히 틀리면 INCORRECT / 특정할 수 없으면 AMBIGUOUS</t>
  </si>
  <si>
    <t>※ 한국어 뜻은 보조 정보입니다. 최종 판단은 원문 + 매칭 단어 + 시스템 판정을 기준으로 하세요.</t>
  </si>
  <si>
    <t>번호</t>
  </si>
  <si>
    <t>원재료 원문</t>
  </si>
  <si>
    <t>한국어 뜻</t>
  </si>
  <si>
    <t>매칭 단어</t>
  </si>
  <si>
    <t>매칭 뜻</t>
  </si>
  <si>
    <t>시스템 판정</t>
  </si>
  <si>
    <t>판정 뜻</t>
  </si>
  <si>
    <t>사람 검토</t>
  </si>
  <si>
    <t>검토 메모</t>
  </si>
  <si>
    <t>출처</t>
  </si>
  <si>
    <t>Protéines déshydratées de poulet et de dinde</t>
  </si>
  <si>
    <t>닭고기와 칠면조의 건조 단백질</t>
  </si>
  <si>
    <t>poulet</t>
  </si>
  <si>
    <t>닭고기</t>
  </si>
  <si>
    <t>chicken</t>
  </si>
  <si>
    <t>OPFF</t>
  </si>
  <si>
    <t>Milk and milk by-products</t>
  </si>
  <si>
    <t>우유 및 우유 부산물</t>
  </si>
  <si>
    <t>milk</t>
  </si>
  <si>
    <t>우유</t>
  </si>
  <si>
    <t>dairy</t>
  </si>
  <si>
    <t>유제품</t>
  </si>
  <si>
    <t>protéines déshydratées de poulet et de dinde</t>
  </si>
  <si>
    <t>farine de gluten de maïs</t>
  </si>
  <si>
    <t>옥수수 글루텐 가루</t>
  </si>
  <si>
    <t>maïs</t>
  </si>
  <si>
    <t>옥수수</t>
  </si>
  <si>
    <t>corn</t>
  </si>
  <si>
    <t>corn gluten meal</t>
  </si>
  <si>
    <t>옥수수 글루텐 박</t>
  </si>
  <si>
    <t>gluten de mais</t>
  </si>
  <si>
    <t>옥수수 글루텐</t>
  </si>
  <si>
    <t>mais</t>
  </si>
  <si>
    <t>gluten</t>
  </si>
  <si>
    <t>글루텐</t>
  </si>
  <si>
    <t>wheat</t>
  </si>
  <si>
    <t>밀</t>
  </si>
  <si>
    <t>extrait de dans le calendula (source de lutéine).Additifsparkg-Ajoutsnutritifs: L-camitine 300mg. Ajouts organoleptiques: extraction de adultes Composition: agneau frais désossé (28%)</t>
  </si>
  <si>
    <t>[번역 불확실] 금잔화 추출물·루테인·첨가물·신선한 뼈 없는 양고기 등이 섞인 손상/비정형 문구</t>
  </si>
  <si>
    <t>agneau</t>
  </si>
  <si>
    <t>양고기</t>
  </si>
  <si>
    <t>lamb</t>
  </si>
  <si>
    <t>poulet déshydraté (4%)</t>
  </si>
  <si>
    <t>건조 닭고기(4%)</t>
  </si>
  <si>
    <t>foie de poulet déshydraté (4%)</t>
  </si>
  <si>
    <t>건조 닭 간(4%)</t>
  </si>
  <si>
    <t>huiles et graisses (huile de poisson 1%)</t>
  </si>
  <si>
    <t>기름 및 지방(생선기름 1%)</t>
  </si>
  <si>
    <t>poisson</t>
  </si>
  <si>
    <t>생선</t>
  </si>
  <si>
    <t>fish</t>
  </si>
  <si>
    <t>Yeast</t>
  </si>
  <si>
    <t>효모</t>
  </si>
  <si>
    <t>yeast</t>
  </si>
  <si>
    <t>Beef</t>
  </si>
  <si>
    <t>소고기</t>
  </si>
  <si>
    <t>beef</t>
  </si>
  <si>
    <t>Chicken Broth</t>
  </si>
  <si>
    <t>닭 육수</t>
  </si>
  <si>
    <t>grasso di pollo</t>
  </si>
  <si>
    <t>닭 지방</t>
  </si>
  <si>
    <t>pollo</t>
  </si>
  <si>
    <t>salmon oil (a source of DHA)</t>
  </si>
  <si>
    <t>연어유(DHA 공급원)</t>
  </si>
  <si>
    <t>salmon</t>
  </si>
  <si>
    <t>연어</t>
  </si>
  <si>
    <t>chicken meal 13%</t>
  </si>
  <si>
    <t>닭고기 가루 13%</t>
  </si>
  <si>
    <t>fresh chicken giblets (liver</t>
  </si>
  <si>
    <t>신선한 닭 내장(간</t>
  </si>
  <si>
    <t>sweet potato</t>
  </si>
  <si>
    <t>고구마</t>
  </si>
  <si>
    <t>potato</t>
  </si>
  <si>
    <t>감자</t>
  </si>
  <si>
    <t>고구마와 감자는 식물학적 분류 및 알레르기 유발 항원이 다름</t>
  </si>
  <si>
    <t>OEM</t>
  </si>
  <si>
    <t>natural chicken flavor</t>
  </si>
  <si>
    <t>천연 닭고기 향</t>
  </si>
  <si>
    <t>poultry protein (12%</t>
  </si>
  <si>
    <t>가금류 단백질(12%</t>
  </si>
  <si>
    <t>poultry</t>
  </si>
  <si>
    <t>가금류</t>
  </si>
  <si>
    <t>가금류는 오리, 칠면조를 포함하므로 닭고기로 한정하면 데이터 유실 위험 있음</t>
  </si>
  <si>
    <t>farine de viande de poulet 23%</t>
  </si>
  <si>
    <t>닭고기 가루 23%</t>
  </si>
  <si>
    <t>cartilage de poulet (déshydraté</t>
  </si>
  <si>
    <t>건조 닭 연골</t>
  </si>
  <si>
    <t>Viande fraîche de poulet (24 %)</t>
  </si>
  <si>
    <t>신선한 닭고기(24%)</t>
  </si>
  <si>
    <t>protéine de volaille (10 %</t>
  </si>
  <si>
    <t>가금류 단백질(10%</t>
  </si>
  <si>
    <t>volaille</t>
  </si>
  <si>
    <t>viandes (poulet à base de cœurs 15%</t>
  </si>
  <si>
    <t>육류(심장 기반 닭고기 15%</t>
  </si>
  <si>
    <t>porc déshydraté (4%)</t>
  </si>
  <si>
    <t>건조 돼지고기(4%)</t>
  </si>
  <si>
    <t>porc</t>
  </si>
  <si>
    <t>돼지고기</t>
  </si>
  <si>
    <t>pork</t>
  </si>
  <si>
    <t>huile et graisse de poulet</t>
  </si>
  <si>
    <t>닭고기 기름 및 지방</t>
  </si>
  <si>
    <t>40% poulet (à base de cœurs</t>
  </si>
  <si>
    <t>심장 기반 닭고기 40%</t>
  </si>
  <si>
    <t>oatmeal</t>
  </si>
  <si>
    <t>오트밀</t>
  </si>
  <si>
    <t>oat</t>
  </si>
  <si>
    <t>귀리</t>
  </si>
  <si>
    <t>Chicken</t>
  </si>
  <si>
    <t>_composition_ : poulet et dinde déshydratés (31%)</t>
  </si>
  <si>
    <t>구성: 건조 닭고기와 칠면조(31%)</t>
  </si>
  <si>
    <t>GLOBAL</t>
  </si>
  <si>
    <t>gluten de blé* riz gluten de maïs</t>
  </si>
  <si>
    <t>밀 글루텐* 쌀, 옥수수 글루텐</t>
  </si>
  <si>
    <t>farine de maïs</t>
  </si>
  <si>
    <t>옥수수 가루</t>
  </si>
  <si>
    <t>céréales (60 % de farine de maïs extrudé</t>
  </si>
  <si>
    <t>곡물(압출 옥수수 가루 60%</t>
  </si>
  <si>
    <t>글루텐은 보리, 호밀에도 들어있으므로 '밀'로만 한정하는 것은 엄밀히 따지면 불완전함. 단, 사료 유통 관행상 용인되기도 함</t>
  </si>
  <si>
    <t>egg and chicken flavor</t>
  </si>
  <si>
    <t>달걀 및 닭고기 향</t>
  </si>
  <si>
    <t>egg</t>
  </si>
  <si>
    <t>달걀</t>
  </si>
  <si>
    <t>gluten de blé</t>
  </si>
  <si>
    <t>밀 글루텐</t>
  </si>
  <si>
    <t>gluten de maïs</t>
  </si>
  <si>
    <t>gluten fibres végétales</t>
  </si>
  <si>
    <t>글루텐, 식물성 섬유</t>
  </si>
  <si>
    <t>pork liver flavor</t>
  </si>
  <si>
    <t>돼지 간 향</t>
  </si>
  <si>
    <t>chicken liver flavor</t>
  </si>
  <si>
    <t>닭 간 향</t>
  </si>
  <si>
    <t>maize gluten meal</t>
  </si>
  <si>
    <t>sucres.
au poulet et aux petits pois
viandes et sous-produits animaux (dont poulet 4%)</t>
  </si>
  <si>
    <t>당류. 닭고기와 완두콩 맛. 육류 및 동물성 부산물(닭고기 4% 포함)</t>
  </si>
  <si>
    <t>fisk og fiskeprodukter (laks/laks 4%)</t>
  </si>
  <si>
    <t>생선 및 생선 제품(연어 4%)</t>
  </si>
  <si>
    <t>fisk</t>
  </si>
  <si>
    <t>con min. 4% pollo nel prodotto
** equivalente al 4% di ortaggi reidratati nel prodotto
*** equivalente a 0</t>
  </si>
  <si>
    <t>[번역 불확실] 제품 내 닭고기 최소 4% 및 재수화 채소 관련 이탈리아어 문구가 잘려 있음</t>
  </si>
  <si>
    <t>avec min 4 % de bœuf dans les bouchées et dans le produit total. additifs : additifs nutritionnels : ui/kg : vit a : 17 500</t>
  </si>
  <si>
    <t>한 입과 전체 제품에 소고기 최소 4%. 첨가물 및 영양 첨가물 문구</t>
  </si>
  <si>
    <t>bœuf</t>
  </si>
  <si>
    <t>row_number</t>
  </si>
  <si>
    <t>product_id</t>
  </si>
  <si>
    <t>source_dataset</t>
  </si>
  <si>
    <t>raw_ingredient_text</t>
  </si>
  <si>
    <t>review_translation_ko</t>
  </si>
  <si>
    <t>segmented_text</t>
  </si>
  <si>
    <t>matched_text</t>
  </si>
  <si>
    <t>matched_alias</t>
  </si>
  <si>
    <t>allergen_code</t>
  </si>
  <si>
    <t>review_question_ko</t>
  </si>
  <si>
    <t>review_label</t>
  </si>
  <si>
    <t>reviewer_note</t>
  </si>
  <si>
    <t>mapping_method</t>
  </si>
  <si>
    <t>confidence</t>
  </si>
  <si>
    <t>dictionary_version</t>
  </si>
  <si>
    <t>1</t>
  </si>
  <si>
    <t>0052742282602</t>
  </si>
  <si>
    <t>['protéines déshydratées de poulet et de dinde']</t>
  </si>
  <si>
    <t>이 원재료 원문이 allergen_code에 표시된 알레르겐을 실제로 의미하는가?</t>
  </si>
  <si>
    <t>CANONICAL_ALIAS</t>
  </si>
  <si>
    <t>1.0</t>
  </si>
  <si>
    <t>allergen_sot_v1</t>
  </si>
  <si>
    <t>2</t>
  </si>
  <si>
    <t>9003579311660</t>
  </si>
  <si>
    <t>['milk and milk by-products']</t>
  </si>
  <si>
    <t>3</t>
  </si>
  <si>
    <t>0052742935706</t>
  </si>
  <si>
    <t>4</t>
  </si>
  <si>
    <t>0052742121109</t>
  </si>
  <si>
    <t>['farine de gluten de maïs']</t>
  </si>
  <si>
    <t>5</t>
  </si>
  <si>
    <t>0030111493255</t>
  </si>
  <si>
    <t>['corn gluten meal']</t>
  </si>
  <si>
    <t>6</t>
  </si>
  <si>
    <t>3182550708180</t>
  </si>
  <si>
    <t>['gluten de mais']</t>
  </si>
  <si>
    <t>7</t>
  </si>
  <si>
    <t>3182550702423</t>
  </si>
  <si>
    <t>8</t>
  </si>
  <si>
    <t>8010276020208</t>
  </si>
  <si>
    <t>['extrait de dans le calendula (source de lutéine).additifsparkg-ajoutsnutritifs: l-camitine 300mg. ajouts organoleptiques: extraction de adultes composition: agneau frais désossé (28%)']</t>
  </si>
  <si>
    <t>9</t>
  </si>
  <si>
    <t>0064992280543</t>
  </si>
  <si>
    <t>['poulet déshydraté (4%)']</t>
  </si>
  <si>
    <t>10</t>
  </si>
  <si>
    <t>0064992718862</t>
  </si>
  <si>
    <t>['foie de poulet déshydraté (4%)']</t>
  </si>
  <si>
    <t>11</t>
  </si>
  <si>
    <t>0052742047393</t>
  </si>
  <si>
    <t>['huiles et graisses (huile de poisson 1%)']</t>
  </si>
  <si>
    <t>12</t>
  </si>
  <si>
    <t>9003579311301</t>
  </si>
  <si>
    <t>['yeast']</t>
  </si>
  <si>
    <t>CANONICAL_EXACT</t>
  </si>
  <si>
    <t>13</t>
  </si>
  <si>
    <t>0074198611379</t>
  </si>
  <si>
    <t>['beef']</t>
  </si>
  <si>
    <t>14</t>
  </si>
  <si>
    <t>0076344118473</t>
  </si>
  <si>
    <t>['chicken broth']</t>
  </si>
  <si>
    <t>15</t>
  </si>
  <si>
    <t>8010276025197</t>
  </si>
  <si>
    <t>['grasso di pollo']</t>
  </si>
  <si>
    <t>16</t>
  </si>
  <si>
    <t>0076344118459</t>
  </si>
  <si>
    <t>17</t>
  </si>
  <si>
    <t>0074198612659</t>
  </si>
  <si>
    <t>['salmon oil (a source of dha)']</t>
  </si>
  <si>
    <t>18</t>
  </si>
  <si>
    <t>0064992500115</t>
  </si>
  <si>
    <t>['chicken meal 13%']</t>
  </si>
  <si>
    <t>19</t>
  </si>
  <si>
    <t>0076344118480</t>
  </si>
  <si>
    <t>20</t>
  </si>
  <si>
    <t>0064992280178</t>
  </si>
  <si>
    <t>['fresh chicken giblets (liver']</t>
  </si>
  <si>
    <t>21</t>
  </si>
  <si>
    <t>OFF_KR_0015561526531</t>
  </si>
  <si>
    <t>['sweet potato']</t>
  </si>
  <si>
    <t>22</t>
  </si>
  <si>
    <t>OFF_KR_0015561526517</t>
  </si>
  <si>
    <t>23</t>
  </si>
  <si>
    <t>OFF_KR_0074198004201</t>
  </si>
  <si>
    <t>['natural chicken flavor']</t>
  </si>
  <si>
    <t>24</t>
  </si>
  <si>
    <t>OFF_KR_4260358511412</t>
  </si>
  <si>
    <t>['poultry protein (12%']</t>
  </si>
  <si>
    <t>25</t>
  </si>
  <si>
    <t>OFF_KR_0074198607389</t>
  </si>
  <si>
    <t>26</t>
  </si>
  <si>
    <t>OFF_KR_4047777121435</t>
  </si>
  <si>
    <t>['farine de viande de poulet 23%']</t>
  </si>
  <si>
    <t>27</t>
  </si>
  <si>
    <t>OFF_KR_0064992280543</t>
  </si>
  <si>
    <t>['cartilage de poulet (déshydraté']</t>
  </si>
  <si>
    <t>28</t>
  </si>
  <si>
    <t>OFF_KR_4047777102168</t>
  </si>
  <si>
    <t>['viande fraîche de poulet (24 %)']</t>
  </si>
  <si>
    <t>29</t>
  </si>
  <si>
    <t>OFF_KR_4260358511474</t>
  </si>
  <si>
    <t>['protéine de volaille (10 %']</t>
  </si>
  <si>
    <t>30</t>
  </si>
  <si>
    <t>OFF_KR_4047777178811</t>
  </si>
  <si>
    <t>['viandes (poulet à base de cœurs 15%']</t>
  </si>
  <si>
    <t>31</t>
  </si>
  <si>
    <t>OFF_KR_0064992282189</t>
  </si>
  <si>
    <t>['porc déshydraté (4%)']</t>
  </si>
  <si>
    <t>32</t>
  </si>
  <si>
    <t>OFF_KR_0064992718916</t>
  </si>
  <si>
    <t>33</t>
  </si>
  <si>
    <t>OFF_KR_3760080533160</t>
  </si>
  <si>
    <t>['huile et graisse de poulet']</t>
  </si>
  <si>
    <t>34</t>
  </si>
  <si>
    <t>OFF_KR_0064992718862</t>
  </si>
  <si>
    <t>35</t>
  </si>
  <si>
    <t>OFF_KR_0064992718930</t>
  </si>
  <si>
    <t>36</t>
  </si>
  <si>
    <t>OFF_KR_4047777125013</t>
  </si>
  <si>
    <t>['40% poulet (à base de cœurs']</t>
  </si>
  <si>
    <t>37</t>
  </si>
  <si>
    <t>OFF_KR_0074198611379</t>
  </si>
  <si>
    <t>38</t>
  </si>
  <si>
    <t>OFF_KR_0072705115938</t>
  </si>
  <si>
    <t>['oatmeal']</t>
  </si>
  <si>
    <t>39</t>
  </si>
  <si>
    <t>OFF_KR_0064992716240</t>
  </si>
  <si>
    <t>40</t>
  </si>
  <si>
    <t>OFF_KR_0072705105571</t>
  </si>
  <si>
    <t>['chicken']</t>
  </si>
  <si>
    <t>41</t>
  </si>
  <si>
    <t>OFF_3560071174767</t>
  </si>
  <si>
    <t>['_composition_ : poulet et dinde déshydratés (31%)']</t>
  </si>
  <si>
    <t>42</t>
  </si>
  <si>
    <t>OFF_3182550724388</t>
  </si>
  <si>
    <t>['gluten de blé* riz gluten de maïs']</t>
  </si>
  <si>
    <t>43</t>
  </si>
  <si>
    <t>OFF_3182550764551</t>
  </si>
  <si>
    <t>['farine de maïs']</t>
  </si>
  <si>
    <t>44</t>
  </si>
  <si>
    <t>OFF_7613035378612</t>
  </si>
  <si>
    <t>['céréales (60 % de farine de maïs extrudé']</t>
  </si>
  <si>
    <t>45</t>
  </si>
  <si>
    <t>OFF_0052742935706</t>
  </si>
  <si>
    <t>46</t>
  </si>
  <si>
    <t>OFF_0017800101851</t>
  </si>
  <si>
    <t>['egg and chicken flavor']</t>
  </si>
  <si>
    <t>47</t>
  </si>
  <si>
    <t>OFF_3182550720816</t>
  </si>
  <si>
    <t>['gluten de blé']</t>
  </si>
  <si>
    <t>48</t>
  </si>
  <si>
    <t>OFF_00680910</t>
  </si>
  <si>
    <t>['gluten de maïs']</t>
  </si>
  <si>
    <t>49</t>
  </si>
  <si>
    <t>OFF_3182550787581</t>
  </si>
  <si>
    <t>['gluten fibres végétales']</t>
  </si>
  <si>
    <t>50</t>
  </si>
  <si>
    <t>OFF_0052742534800</t>
  </si>
  <si>
    <t>['pork liver flavor']</t>
  </si>
  <si>
    <t>51</t>
  </si>
  <si>
    <t>OFF_0052742269801</t>
  </si>
  <si>
    <t>['chicken liver flavor']</t>
  </si>
  <si>
    <t>52</t>
  </si>
  <si>
    <t>OFF_0052742177601</t>
  </si>
  <si>
    <t>53</t>
  </si>
  <si>
    <t>OFF_0052742005447</t>
  </si>
  <si>
    <t>54</t>
  </si>
  <si>
    <t>OFF_0052742024523</t>
  </si>
  <si>
    <t>['maize gluten meal']</t>
  </si>
  <si>
    <t>55</t>
  </si>
  <si>
    <t>OFF_3182550761970</t>
  </si>
  <si>
    <t>['maïs']</t>
  </si>
  <si>
    <t>56</t>
  </si>
  <si>
    <t>OFF_3222270185318</t>
  </si>
  <si>
    <t>['sucres. au poulet et aux petits pois viandes et sous-produits animaux (dont poulet 4%)']</t>
  </si>
  <si>
    <t>57</t>
  </si>
  <si>
    <t>OFF_3222270552745</t>
  </si>
  <si>
    <t>['fisk og fiskeprodukter (laks', 'laks 4%)']</t>
  </si>
  <si>
    <t>58</t>
  </si>
  <si>
    <t>OFF_3010470154575</t>
  </si>
  <si>
    <t>['con min. 4% pollo nel prodotto ** equivalente al 4% di ortaggi reidratati nel prodotto *** equivalente a 0']</t>
  </si>
  <si>
    <t>59</t>
  </si>
  <si>
    <t>OFF_7613032452506</t>
  </si>
  <si>
    <t>['avec min 4 % de bœuf dans les bouchées et dans le produit total. additifs : additifs nutritionnels : ui', 'kg : vit a : 17 500']</t>
  </si>
  <si>
    <t>60</t>
  </si>
  <si>
    <t>OFF_0050000172375</t>
  </si>
  <si>
    <t>['salmon']</t>
  </si>
  <si>
    <t>Human Precision Audit 검토 가이드</t>
  </si>
  <si>
    <t>라벨</t>
  </si>
  <si>
    <t>한국어 의미</t>
  </si>
  <si>
    <t>판단 기준</t>
  </si>
  <si>
    <t>예시</t>
  </si>
  <si>
    <t>맞음</t>
  </si>
  <si>
    <t>원문 문맥에서 시스템의 allergen_code가 명확하게 맞음</t>
  </si>
  <si>
    <t>닭고기 → chicken</t>
  </si>
  <si>
    <t>틀림</t>
  </si>
  <si>
    <t>원문 의미와 시스템의 allergen_code가 명확하게 다름</t>
  </si>
  <si>
    <t>옥수수 글루텐 → wheat</t>
  </si>
  <si>
    <t>확정 불가</t>
  </si>
  <si>
    <t>원문만으로 특정 알레르겐을 확정할 수 없음</t>
  </si>
  <si>
    <t>poultry → chicken</t>
  </si>
  <si>
    <t>검토 순서</t>
  </si>
  <si>
    <t>원재료 원문을 읽는다.</t>
  </si>
  <si>
    <t>한국어 뜻으로 의미를 빠르게 확인한다.</t>
  </si>
  <si>
    <t>매칭 단어와 시스템 판정을 비교한다.</t>
  </si>
  <si>
    <t>맞으면 CORRECT, 틀리면 INCORRECT, 특정 불가면 AMBIGUOUS를 선택한다.</t>
  </si>
  <si>
    <t>INCORRECT/AMBIGUOUS는 가능하면 검토 메모를 한 줄 남긴다.</t>
  </si>
  <si>
    <t>주의: 한 행의 매핑 자체가 맞으면 CORRECT입니다. 같은 원문에서 다른 알레르겐이 누락됐는지는 이 precision audit의 판정 대상이 아닙니다.</t>
  </si>
  <si>
    <t>알레르기 매핑 60건 — AI 사전라벨</t>
  </si>
  <si>
    <t>AI 사전라벨 요약</t>
  </si>
  <si>
    <t>건수</t>
  </si>
  <si>
    <t>매칭 단어와 시스템 판정을 각각 한국어로 함께 표시했습니다. 예: gluten(글루텐) → wheat(밀). AI 제안 라벨은 참고용이며 사람 최종 라벨은 별도입니다.</t>
  </si>
  <si>
    <t>매칭 단어 뜻</t>
  </si>
  <si>
    <t>시스템 판정 뜻</t>
  </si>
  <si>
    <t>AI 제안 라벨</t>
  </si>
  <si>
    <t>AI 판정 근거</t>
  </si>
  <si>
    <t>사람 최종 라벨</t>
  </si>
  <si>
    <t>사람 메모</t>
  </si>
  <si>
    <t>poulet=닭. 원문에 닭고기와 칠면조가 함께 명시되어 있으며 chicken 매핑 자체는 맞음.</t>
  </si>
  <si>
    <t>milk=우유이며 dairy 상위 범주 매핑은 의미상 맞음.</t>
  </si>
  <si>
    <t>poulet=닭. chicken 매핑 자체는 맞음.</t>
  </si>
  <si>
    <t>maïs=옥수수. corn 매핑이 맞음.</t>
  </si>
  <si>
    <t>corn=옥수수. corn 매핑이 맞음.</t>
  </si>
  <si>
    <t>mais=옥수수. corn 매핑이 맞음.</t>
  </si>
  <si>
    <t>gluten de mais는 옥수수 글루텐인데 gluten 문자열만으로 wheat에 매핑됨.</t>
  </si>
  <si>
    <t>문장은 손상돼 있으나 agneau frais désossé(뼈 없는 신선한 양고기)가 명시되어 lamb 매핑은 맞음.</t>
  </si>
  <si>
    <t>poulet=닭. chicken 매핑이 맞음.</t>
  </si>
  <si>
    <t>foie de poulet=닭 간. chicken 매핑이 맞음.</t>
  </si>
  <si>
    <t>poisson=생선. fish 매핑이 맞음.</t>
  </si>
  <si>
    <t>yeast=효모. 동일 코드 매핑이 맞음.</t>
  </si>
  <si>
    <t>beef=소고기. 동일 코드 매핑이 맞음.</t>
  </si>
  <si>
    <t>chicken broth에 chicken이 명시됨.</t>
  </si>
  <si>
    <t>pollo=닭. chicken 매핑이 맞음.</t>
  </si>
  <si>
    <t>salmon은 생선 종류이므로 fish 상위 코드 매핑이 맞음.</t>
  </si>
  <si>
    <t>chicken meal에 chicken이 명시됨.</t>
  </si>
  <si>
    <t>fresh chicken giblets에 chicken이 명시됨.</t>
  </si>
  <si>
    <t>sweet potato는 고구마이며 일반적인 의미의 potato(감자)와 다른 원재료. 상위 taxonomy 의도가 아니라면 오매핑.</t>
  </si>
  <si>
    <t>natural chicken flavor는 문구상 chicken 출처를 명시함. 단 flavor를 안전 차단 evidence로 쓸지는 별도 정책 문제.</t>
  </si>
  <si>
    <t>poultry는 가금류 전체를 뜻해 chicken 한 종으로 특정할 수 없음.</t>
  </si>
  <si>
    <t>natural chicken flavor는 문구상 chicken 출처를 명시함. safety usability는 별도 정책 문제.</t>
  </si>
  <si>
    <t>cartilage de poulet=닭 연골. chicken 매핑이 맞음.</t>
  </si>
  <si>
    <t>viande fraîche de poulet=신선한 닭고기. chicken 매핑이 맞음.</t>
  </si>
  <si>
    <t>volaille는 가금류 전체 의미라 chicken 한 종으로 특정할 수 없음.</t>
  </si>
  <si>
    <t>porc=돼지고기. pork 매핑이 맞음.</t>
  </si>
  <si>
    <t>huile et graisse de poulet=닭 기름/지방. chicken 출처 매핑은 맞음.</t>
  </si>
  <si>
    <t>oatmeal은 귀리 기반 원재료이므로 oat 매핑이 맞음.</t>
  </si>
  <si>
    <t>chicken=닭. 동일 코드 매핑이 맞음.</t>
  </si>
  <si>
    <t>poulet et dinde에서 poulet=닭이므로 chicken 매핑 자체는 맞음.</t>
  </si>
  <si>
    <t>원문에 gluten de maïs(옥수수 글루텐)가 명시되어 maïs→corn 매핑이 맞음.</t>
  </si>
  <si>
    <t>farine de maïs=옥수수 가루. corn 매핑이 맞음.</t>
  </si>
  <si>
    <t>farine de maïs extrudé=압출 옥수수 가루. corn 매핑이 맞음.</t>
  </si>
  <si>
    <t>farine de gluten de maïs는 옥수수 글루텐인데 gluten 문자열만으로 wheat에 매핑됨.</t>
  </si>
  <si>
    <t>egg and chicken flavor에 egg가 명시되어 egg 매핑 자체는 맞음. flavor의 safety usability는 별도 정책 문제.</t>
  </si>
  <si>
    <t>gluten de blé는 밀 글루텐이므로 wheat 매핑이 맞음.</t>
  </si>
  <si>
    <t>gluten de maïs는 옥수수 글루텐인데 wheat로 매핑됨.</t>
  </si>
  <si>
    <t>gluten만 있고 곡물 출처가 특정되지 않아 wheat로 확정하기 어려움.</t>
  </si>
  <si>
    <t>pork liver flavor에 pork가 명시됨. flavor의 safety usability는 별도 정책 문제.</t>
  </si>
  <si>
    <t>chicken liver flavor에 chicken이 명시됨. flavor의 safety usability는 별도 정책 문제.</t>
  </si>
  <si>
    <t>corn gluten meal은 옥수수 글루텐인데 gluten 문자열만으로 wheat에 매핑됨.</t>
  </si>
  <si>
    <t>maize gluten meal은 옥수수 글루텐인데 gluten 문자열만으로 wheat에 매핑됨.</t>
  </si>
  <si>
    <t>원문에 poulet 및 poulet 4%가 명시되어 chicken 매핑이 맞음.</t>
  </si>
  <si>
    <t>fisk=생선. fish 매핑이 맞음.</t>
  </si>
  <si>
    <t>pollo=닭. 문장이 일부 잘렸지만 chicken 매핑에 필요한 표현은 명확함.</t>
  </si>
  <si>
    <t>bœuf=소고기. beef 매핑이 맞음.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</si>
</sst>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color rgb="FF9C0006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3F6F9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7F7F7"/>
      </patternFill>
    </fill>
    <fill>
      <patternFill patternType="solid">
        <fgColor rgb="FF404040"/>
      </patternFill>
    </fill>
    <fill>
      <patternFill patternType="solid">
        <fgColor rgb="FF1F4E78"/>
      </patternFill>
    </fill>
    <fill>
      <patternFill patternType="solid">
        <fgColor rgb="FFFFF7E6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 indent="1"/>
    </xf>
    <xf numFmtId="0" fontId="1" fillId="7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wrapText="1"/>
    </xf>
    <xf numFmtId="0" fontId="2" fillId="4" borderId="1" xfId="0" applyNumberFormat="1" applyFont="1" applyFill="1" applyBorder="1" applyAlignment="1">
      <alignment wrapText="1"/>
    </xf>
    <xf numFmtId="0" fontId="2" fillId="9" borderId="1" xfId="0" applyNumberFormat="1" applyFont="1" applyFill="1" applyBorder="1" applyAlignment="1">
      <alignment horizontal="center" vertical="center" wrapText="1"/>
    </xf>
    <xf numFmtId="0" fontId="1" fillId="7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/>
    <xf numFmtId="0" fontId="4" fillId="7" borderId="1" xfId="0" applyNumberFormat="1" applyFont="1" applyFill="1" applyBorder="1" applyAlignment="1">
      <alignment horizontal="center"/>
    </xf>
    <xf numFmtId="0" fontId="5" fillId="10" borderId="1" xfId="0" applyNumberFormat="1" applyFont="1" applyFill="1" applyBorder="1" applyAlignment="1">
      <alignment wrapText="1"/>
    </xf>
    <xf numFmtId="0" fontId="5" fillId="10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 wrapText="1"/>
    </xf>
    <xf numFmtId="0" fontId="0" fillId="8" borderId="1" xfId="0" applyNumberFormat="1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HumanReviewTable" displayName="HumanReviewTable" ref="A6:J66" totalsRowShown="0">
  <tableColumns count="10">
    <tableColumn id="1" xr3:uid="{00000000-0010-0000-0000-000001000000}" name="번호"/>
    <tableColumn id="2" xr3:uid="{00000000-0010-0000-0000-000002000000}" name="원재료 원문"/>
    <tableColumn id="3" xr3:uid="{00000000-0010-0000-0000-000003000000}" name="한국어 뜻"/>
    <tableColumn id="4" xr3:uid="{00000000-0010-0000-0000-000004000000}" name="매칭 단어"/>
    <tableColumn id="5" xr3:uid="{00000000-0010-0000-0000-000005000000}" name="매칭 뜻"/>
    <tableColumn id="6" xr3:uid="{00000000-0010-0000-0000-000006000000}" name="시스템 판정"/>
    <tableColumn id="7" xr3:uid="{00000000-0010-0000-0000-000007000000}" name="판정 뜻"/>
    <tableColumn id="8" xr3:uid="{00000000-0010-0000-0000-000008000000}" name="사람 검토"/>
    <tableColumn id="9" xr3:uid="{00000000-0010-0000-0000-000009000000}" name="검토 메모"/>
    <tableColumn id="10" xr3:uid="{00000000-0010-0000-0000-00000A000000}" name="출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AuditTable" displayName="RawAuditTable" ref="A1:O61" totalsRowShown="0">
  <tableColumns count="15">
    <tableColumn id="1" xr3:uid="{00000000-0010-0000-0100-000001000000}" name="row_number"/>
    <tableColumn id="2" xr3:uid="{00000000-0010-0000-0100-000002000000}" name="product_id"/>
    <tableColumn id="3" xr3:uid="{00000000-0010-0000-0100-000003000000}" name="source_dataset"/>
    <tableColumn id="4" xr3:uid="{00000000-0010-0000-0100-000004000000}" name="raw_ingredient_text"/>
    <tableColumn id="5" xr3:uid="{00000000-0010-0000-0100-000005000000}" name="review_translation_ko"/>
    <tableColumn id="6" xr3:uid="{00000000-0010-0000-0100-000006000000}" name="segmented_text"/>
    <tableColumn id="7" xr3:uid="{00000000-0010-0000-0100-000007000000}" name="matched_text"/>
    <tableColumn id="8" xr3:uid="{00000000-0010-0000-0100-000008000000}" name="matched_alias"/>
    <tableColumn id="9" xr3:uid="{00000000-0010-0000-0100-000009000000}" name="allergen_code"/>
    <tableColumn id="10" xr3:uid="{00000000-0010-0000-0100-00000A000000}" name="review_question_ko"/>
    <tableColumn id="11" xr3:uid="{00000000-0010-0000-0100-00000B000000}" name="review_label"/>
    <tableColumn id="12" xr3:uid="{00000000-0010-0000-0100-00000C000000}" name="reviewer_note"/>
    <tableColumn id="13" xr3:uid="{00000000-0010-0000-0100-00000D000000}" name="mapping_method"/>
    <tableColumn id="14" xr3:uid="{00000000-0010-0000-0100-00000E000000}" name="confidence"/>
    <tableColumn id="15" xr3:uid="{00000000-0010-0000-0100-00000F000000}" name="dictionary_ver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LabelTable" displayName="AILabelTable" ref="A4:J64" totalsRowShown="0">
  <tableColumns count="10">
    <tableColumn id="1" xr3:uid="{00000000-0010-0000-0200-000001000000}" name="번호"/>
    <tableColumn id="2" xr3:uid="{00000000-0010-0000-0200-000002000000}" name="한국어 뜻"/>
    <tableColumn id="3" xr3:uid="{00000000-0010-0000-0200-000003000000}" name="매칭 단어"/>
    <tableColumn id="4" xr3:uid="{00000000-0010-0000-0200-000004000000}" name="매칭 단어 뜻"/>
    <tableColumn id="5" xr3:uid="{00000000-0010-0000-0200-000005000000}" name="시스템 판정"/>
    <tableColumn id="6" xr3:uid="{00000000-0010-0000-0200-000006000000}" name="시스템 판정 뜻"/>
    <tableColumn id="7" xr3:uid="{00000000-0010-0000-0200-000007000000}" name="AI 제안 라벨"/>
    <tableColumn id="8" xr3:uid="{00000000-0010-0000-0200-000008000000}" name="AI 판정 근거"/>
    <tableColumn id="9" xr3:uid="{00000000-0010-0000-0200-000009000000}" name="사람 최종 라벨"/>
    <tableColumn id="10" xr3:uid="{00000000-0010-0000-0200-00000A000000}" name="사람 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C26" zoomScaleNormal="100" zoomScaleSheetLayoutView="100" workbookViewId="0">
      <selection activeCell="I27" sqref="I27"/>
    </sheetView>
  </sheetViews>
  <sheetFormatPr defaultRowHeight="15"/>
  <cols>
    <col min="1" max="1" width="7" customWidth="1"/>
    <col min="2" max="3" width="34" customWidth="1"/>
    <col min="4" max="4" width="15" customWidth="1"/>
    <col min="5" max="5" width="16" customWidth="1"/>
    <col min="6" max="6" width="15" customWidth="1"/>
    <col min="7" max="7" width="16" customWidth="1"/>
    <col min="8" max="8" width="18" customWidth="1"/>
    <col min="9" max="9" width="30" customWidth="1"/>
    <col min="10" max="10" width="12" customWidth="1"/>
  </cols>
  <sheetData>
    <row r="1" spans="1:10" ht="27.95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10">
      <c r="A2" s="1" t="s">
        <v>1</v>
      </c>
      <c r="B2" s="1" t="str">
        <f>(D2+F2+H2)&amp;"/60"</f>
        <v>60/60</v>
      </c>
      <c r="C2" s="1" t="s">
        <v>2</v>
      </c>
      <c r="D2" s="1">
        <f>COUNTIF(H7:H66,"CORRECT")</f>
        <v>50</v>
      </c>
      <c r="E2" s="1" t="s">
        <v>3</v>
      </c>
      <c r="F2" s="1">
        <f>COUNTIF(H7:H66,"INCORRECT")</f>
        <v>2</v>
      </c>
      <c r="G2" s="1" t="s">
        <v>4</v>
      </c>
      <c r="H2" s="1">
        <f>COUNTIF(H7:H66,"AMBIGUOUS")</f>
        <v>8</v>
      </c>
    </row>
    <row r="3" spans="1:10" ht="33.950000000000003" customHeight="1">
      <c r="A3" s="10" t="s">
        <v>5</v>
      </c>
      <c r="B3" s="10"/>
      <c r="C3" s="10"/>
      <c r="D3" s="10"/>
      <c r="E3" s="10"/>
      <c r="F3" s="10"/>
      <c r="G3" s="10"/>
      <c r="H3" s="10"/>
    </row>
    <row r="4" spans="1:10" ht="27.95" customHeight="1">
      <c r="A4" s="11" t="s">
        <v>6</v>
      </c>
      <c r="B4" s="11"/>
      <c r="C4" s="11"/>
      <c r="D4" s="11"/>
      <c r="E4" s="11"/>
      <c r="F4" s="11"/>
      <c r="G4" s="11"/>
      <c r="H4" s="11"/>
    </row>
    <row r="6" spans="1:10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  <c r="I6" s="12" t="s">
        <v>15</v>
      </c>
      <c r="J6" s="12" t="s">
        <v>16</v>
      </c>
    </row>
    <row r="7" spans="1:10" ht="50.1" customHeight="1">
      <c r="A7" s="4">
        <v>1</v>
      </c>
      <c r="B7" s="3" t="s">
        <v>17</v>
      </c>
      <c r="C7" s="3" t="s">
        <v>18</v>
      </c>
      <c r="D7" s="5" t="s">
        <v>19</v>
      </c>
      <c r="E7" s="5" t="s">
        <v>20</v>
      </c>
      <c r="F7" s="4" t="s">
        <v>21</v>
      </c>
      <c r="G7" s="4" t="s">
        <v>20</v>
      </c>
      <c r="H7" s="4" t="s">
        <v>2</v>
      </c>
      <c r="I7" s="3"/>
      <c r="J7" s="4" t="s">
        <v>22</v>
      </c>
    </row>
    <row r="8" spans="1:10" ht="50.1" customHeight="1">
      <c r="A8" s="4">
        <v>2</v>
      </c>
      <c r="B8" s="3" t="s">
        <v>23</v>
      </c>
      <c r="C8" s="3" t="s">
        <v>24</v>
      </c>
      <c r="D8" s="5" t="s">
        <v>25</v>
      </c>
      <c r="E8" s="5" t="s">
        <v>26</v>
      </c>
      <c r="F8" s="4" t="s">
        <v>27</v>
      </c>
      <c r="G8" s="4" t="s">
        <v>28</v>
      </c>
      <c r="H8" s="4" t="s">
        <v>2</v>
      </c>
      <c r="I8" s="3"/>
      <c r="J8" s="4" t="s">
        <v>22</v>
      </c>
    </row>
    <row r="9" spans="1:10" ht="50.1" customHeight="1">
      <c r="A9" s="4">
        <v>3</v>
      </c>
      <c r="B9" s="3" t="s">
        <v>29</v>
      </c>
      <c r="C9" s="3" t="s">
        <v>18</v>
      </c>
      <c r="D9" s="5" t="s">
        <v>19</v>
      </c>
      <c r="E9" s="5" t="s">
        <v>20</v>
      </c>
      <c r="F9" s="4" t="s">
        <v>21</v>
      </c>
      <c r="G9" s="4" t="s">
        <v>20</v>
      </c>
      <c r="H9" s="4" t="s">
        <v>2</v>
      </c>
      <c r="I9" s="3"/>
      <c r="J9" s="4" t="s">
        <v>22</v>
      </c>
    </row>
    <row r="10" spans="1:10" ht="50.1" customHeight="1">
      <c r="A10" s="4">
        <v>4</v>
      </c>
      <c r="B10" s="3" t="s">
        <v>30</v>
      </c>
      <c r="C10" s="3" t="s">
        <v>31</v>
      </c>
      <c r="D10" s="5" t="s">
        <v>32</v>
      </c>
      <c r="E10" s="5" t="s">
        <v>33</v>
      </c>
      <c r="F10" s="4" t="s">
        <v>34</v>
      </c>
      <c r="G10" s="4" t="s">
        <v>33</v>
      </c>
      <c r="H10" s="4" t="s">
        <v>2</v>
      </c>
      <c r="I10" s="3"/>
      <c r="J10" s="4" t="s">
        <v>22</v>
      </c>
    </row>
    <row r="11" spans="1:10" ht="50.1" customHeight="1">
      <c r="A11" s="4">
        <v>5</v>
      </c>
      <c r="B11" s="3" t="s">
        <v>35</v>
      </c>
      <c r="C11" s="3" t="s">
        <v>36</v>
      </c>
      <c r="D11" s="5" t="s">
        <v>34</v>
      </c>
      <c r="E11" s="5" t="s">
        <v>33</v>
      </c>
      <c r="F11" s="4" t="s">
        <v>34</v>
      </c>
      <c r="G11" s="4" t="s">
        <v>33</v>
      </c>
      <c r="H11" s="4" t="s">
        <v>2</v>
      </c>
      <c r="I11" s="3"/>
      <c r="J11" s="4" t="s">
        <v>22</v>
      </c>
    </row>
    <row r="12" spans="1:10" ht="50.1" customHeight="1">
      <c r="A12" s="4">
        <v>6</v>
      </c>
      <c r="B12" s="3" t="s">
        <v>37</v>
      </c>
      <c r="C12" s="3" t="s">
        <v>38</v>
      </c>
      <c r="D12" s="5" t="s">
        <v>39</v>
      </c>
      <c r="E12" s="5" t="s">
        <v>33</v>
      </c>
      <c r="F12" s="4" t="s">
        <v>34</v>
      </c>
      <c r="G12" s="4" t="s">
        <v>33</v>
      </c>
      <c r="H12" s="4" t="s">
        <v>2</v>
      </c>
      <c r="I12" s="3"/>
      <c r="J12" s="4" t="s">
        <v>22</v>
      </c>
    </row>
    <row r="13" spans="1:10" ht="50.1" customHeight="1">
      <c r="A13" s="4">
        <v>7</v>
      </c>
      <c r="B13" s="3" t="s">
        <v>37</v>
      </c>
      <c r="C13" s="3" t="s">
        <v>38</v>
      </c>
      <c r="D13" s="5" t="s">
        <v>40</v>
      </c>
      <c r="E13" s="5" t="s">
        <v>41</v>
      </c>
      <c r="F13" s="4" t="s">
        <v>42</v>
      </c>
      <c r="G13" s="4" t="s">
        <v>43</v>
      </c>
      <c r="H13" s="4" t="s">
        <v>2</v>
      </c>
      <c r="I13" s="3"/>
      <c r="J13" s="4" t="s">
        <v>22</v>
      </c>
    </row>
    <row r="14" spans="1:10" ht="50.1" customHeight="1">
      <c r="A14" s="4">
        <v>8</v>
      </c>
      <c r="B14" s="3" t="s">
        <v>44</v>
      </c>
      <c r="C14" s="3" t="s">
        <v>45</v>
      </c>
      <c r="D14" s="5" t="s">
        <v>46</v>
      </c>
      <c r="E14" s="5" t="s">
        <v>47</v>
      </c>
      <c r="F14" s="4" t="s">
        <v>48</v>
      </c>
      <c r="G14" s="4" t="s">
        <v>47</v>
      </c>
      <c r="H14" s="4" t="s">
        <v>2</v>
      </c>
      <c r="I14" s="3"/>
      <c r="J14" s="4" t="s">
        <v>22</v>
      </c>
    </row>
    <row r="15" spans="1:10" ht="50.1" customHeight="1">
      <c r="A15" s="4">
        <v>9</v>
      </c>
      <c r="B15" s="3" t="s">
        <v>49</v>
      </c>
      <c r="C15" s="3" t="s">
        <v>50</v>
      </c>
      <c r="D15" s="5" t="s">
        <v>19</v>
      </c>
      <c r="E15" s="5" t="s">
        <v>20</v>
      </c>
      <c r="F15" s="4" t="s">
        <v>21</v>
      </c>
      <c r="G15" s="4" t="s">
        <v>20</v>
      </c>
      <c r="H15" s="4" t="s">
        <v>2</v>
      </c>
      <c r="I15" s="3"/>
      <c r="J15" s="4" t="s">
        <v>22</v>
      </c>
    </row>
    <row r="16" spans="1:10" ht="50.1" customHeight="1">
      <c r="A16" s="4">
        <v>10</v>
      </c>
      <c r="B16" s="3" t="s">
        <v>51</v>
      </c>
      <c r="C16" s="3" t="s">
        <v>52</v>
      </c>
      <c r="D16" s="5" t="s">
        <v>19</v>
      </c>
      <c r="E16" s="5" t="s">
        <v>20</v>
      </c>
      <c r="F16" s="4" t="s">
        <v>21</v>
      </c>
      <c r="G16" s="4" t="s">
        <v>20</v>
      </c>
      <c r="H16" s="4" t="s">
        <v>2</v>
      </c>
      <c r="I16" s="3"/>
      <c r="J16" s="4" t="s">
        <v>22</v>
      </c>
    </row>
    <row r="17" spans="1:10" ht="50.1" customHeight="1">
      <c r="A17" s="4">
        <v>11</v>
      </c>
      <c r="B17" s="3" t="s">
        <v>53</v>
      </c>
      <c r="C17" s="3" t="s">
        <v>54</v>
      </c>
      <c r="D17" s="5" t="s">
        <v>55</v>
      </c>
      <c r="E17" s="5" t="s">
        <v>56</v>
      </c>
      <c r="F17" s="4" t="s">
        <v>57</v>
      </c>
      <c r="G17" s="4" t="s">
        <v>56</v>
      </c>
      <c r="H17" s="4" t="s">
        <v>2</v>
      </c>
      <c r="I17" s="3"/>
      <c r="J17" s="4" t="s">
        <v>22</v>
      </c>
    </row>
    <row r="18" spans="1:10" ht="50.1" customHeight="1">
      <c r="A18" s="4">
        <v>12</v>
      </c>
      <c r="B18" s="3" t="s">
        <v>58</v>
      </c>
      <c r="C18" s="3" t="s">
        <v>59</v>
      </c>
      <c r="D18" s="5" t="s">
        <v>60</v>
      </c>
      <c r="E18" s="5" t="s">
        <v>59</v>
      </c>
      <c r="F18" s="4" t="s">
        <v>60</v>
      </c>
      <c r="G18" s="4" t="s">
        <v>59</v>
      </c>
      <c r="H18" s="4" t="s">
        <v>2</v>
      </c>
      <c r="I18" s="3"/>
      <c r="J18" s="4" t="s">
        <v>22</v>
      </c>
    </row>
    <row r="19" spans="1:10" ht="50.1" customHeight="1">
      <c r="A19" s="4">
        <v>13</v>
      </c>
      <c r="B19" s="3" t="s">
        <v>61</v>
      </c>
      <c r="C19" s="3" t="s">
        <v>62</v>
      </c>
      <c r="D19" s="5" t="s">
        <v>63</v>
      </c>
      <c r="E19" s="5" t="s">
        <v>62</v>
      </c>
      <c r="F19" s="4" t="s">
        <v>63</v>
      </c>
      <c r="G19" s="4" t="s">
        <v>62</v>
      </c>
      <c r="H19" s="4" t="s">
        <v>2</v>
      </c>
      <c r="I19" s="3"/>
      <c r="J19" s="4" t="s">
        <v>22</v>
      </c>
    </row>
    <row r="20" spans="1:10" ht="50.1" customHeight="1">
      <c r="A20" s="4">
        <v>14</v>
      </c>
      <c r="B20" s="3" t="s">
        <v>64</v>
      </c>
      <c r="C20" s="3" t="s">
        <v>65</v>
      </c>
      <c r="D20" s="5" t="s">
        <v>21</v>
      </c>
      <c r="E20" s="5" t="s">
        <v>20</v>
      </c>
      <c r="F20" s="4" t="s">
        <v>21</v>
      </c>
      <c r="G20" s="4" t="s">
        <v>20</v>
      </c>
      <c r="H20" s="4" t="s">
        <v>2</v>
      </c>
      <c r="I20" s="3"/>
      <c r="J20" s="4" t="s">
        <v>22</v>
      </c>
    </row>
    <row r="21" spans="1:10" ht="50.1" customHeight="1">
      <c r="A21" s="4">
        <v>15</v>
      </c>
      <c r="B21" s="3" t="s">
        <v>66</v>
      </c>
      <c r="C21" s="3" t="s">
        <v>67</v>
      </c>
      <c r="D21" s="5" t="s">
        <v>68</v>
      </c>
      <c r="E21" s="5" t="s">
        <v>20</v>
      </c>
      <c r="F21" s="4" t="s">
        <v>21</v>
      </c>
      <c r="G21" s="4" t="s">
        <v>20</v>
      </c>
      <c r="H21" s="4" t="s">
        <v>2</v>
      </c>
      <c r="I21" s="3"/>
      <c r="J21" s="4" t="s">
        <v>22</v>
      </c>
    </row>
    <row r="22" spans="1:10" ht="50.1" customHeight="1">
      <c r="A22" s="4">
        <v>16</v>
      </c>
      <c r="B22" s="3" t="s">
        <v>64</v>
      </c>
      <c r="C22" s="3" t="s">
        <v>65</v>
      </c>
      <c r="D22" s="5" t="s">
        <v>21</v>
      </c>
      <c r="E22" s="5" t="s">
        <v>20</v>
      </c>
      <c r="F22" s="4" t="s">
        <v>21</v>
      </c>
      <c r="G22" s="4" t="s">
        <v>20</v>
      </c>
      <c r="H22" s="4" t="s">
        <v>2</v>
      </c>
      <c r="I22" s="3"/>
      <c r="J22" s="4" t="s">
        <v>22</v>
      </c>
    </row>
    <row r="23" spans="1:10" ht="50.1" customHeight="1">
      <c r="A23" s="4">
        <v>17</v>
      </c>
      <c r="B23" s="3" t="s">
        <v>69</v>
      </c>
      <c r="C23" s="3" t="s">
        <v>70</v>
      </c>
      <c r="D23" s="5" t="s">
        <v>71</v>
      </c>
      <c r="E23" s="5" t="s">
        <v>72</v>
      </c>
      <c r="F23" s="4" t="s">
        <v>57</v>
      </c>
      <c r="G23" s="4" t="s">
        <v>56</v>
      </c>
      <c r="H23" s="4" t="s">
        <v>2</v>
      </c>
      <c r="I23" s="3"/>
      <c r="J23" s="4" t="s">
        <v>22</v>
      </c>
    </row>
    <row r="24" spans="1:10" ht="50.1" customHeight="1">
      <c r="A24" s="4">
        <v>18</v>
      </c>
      <c r="B24" s="3" t="s">
        <v>73</v>
      </c>
      <c r="C24" s="3" t="s">
        <v>74</v>
      </c>
      <c r="D24" s="5" t="s">
        <v>21</v>
      </c>
      <c r="E24" s="5" t="s">
        <v>20</v>
      </c>
      <c r="F24" s="4" t="s">
        <v>21</v>
      </c>
      <c r="G24" s="4" t="s">
        <v>20</v>
      </c>
      <c r="H24" s="4" t="s">
        <v>2</v>
      </c>
      <c r="I24" s="3"/>
      <c r="J24" s="4" t="s">
        <v>22</v>
      </c>
    </row>
    <row r="25" spans="1:10" ht="50.1" customHeight="1">
      <c r="A25" s="4">
        <v>19</v>
      </c>
      <c r="B25" s="3" t="s">
        <v>64</v>
      </c>
      <c r="C25" s="3" t="s">
        <v>65</v>
      </c>
      <c r="D25" s="5" t="s">
        <v>21</v>
      </c>
      <c r="E25" s="5" t="s">
        <v>20</v>
      </c>
      <c r="F25" s="4" t="s">
        <v>21</v>
      </c>
      <c r="G25" s="4" t="s">
        <v>20</v>
      </c>
      <c r="H25" s="4" t="s">
        <v>2</v>
      </c>
      <c r="I25" s="3"/>
      <c r="J25" s="4" t="s">
        <v>22</v>
      </c>
    </row>
    <row r="26" spans="1:10" ht="50.1" customHeight="1">
      <c r="A26" s="4">
        <v>20</v>
      </c>
      <c r="B26" s="3" t="s">
        <v>75</v>
      </c>
      <c r="C26" s="3" t="s">
        <v>76</v>
      </c>
      <c r="D26" s="5" t="s">
        <v>21</v>
      </c>
      <c r="E26" s="5" t="s">
        <v>20</v>
      </c>
      <c r="F26" s="4" t="s">
        <v>21</v>
      </c>
      <c r="G26" s="4" t="s">
        <v>20</v>
      </c>
      <c r="H26" s="4" t="s">
        <v>2</v>
      </c>
      <c r="I26" s="3"/>
      <c r="J26" s="4" t="s">
        <v>22</v>
      </c>
    </row>
    <row r="27" spans="1:10" ht="50.1" customHeight="1">
      <c r="A27" s="4">
        <v>21</v>
      </c>
      <c r="B27" s="3" t="s">
        <v>77</v>
      </c>
      <c r="C27" s="3" t="s">
        <v>78</v>
      </c>
      <c r="D27" s="5" t="s">
        <v>77</v>
      </c>
      <c r="E27" s="5" t="s">
        <v>78</v>
      </c>
      <c r="F27" s="4" t="s">
        <v>79</v>
      </c>
      <c r="G27" s="4" t="s">
        <v>80</v>
      </c>
      <c r="H27" s="4" t="s">
        <v>3</v>
      </c>
      <c r="I27" s="8" t="s">
        <v>81</v>
      </c>
      <c r="J27" s="4" t="s">
        <v>82</v>
      </c>
    </row>
    <row r="28" spans="1:10" ht="50.1" customHeight="1">
      <c r="A28" s="4">
        <v>22</v>
      </c>
      <c r="B28" s="3" t="s">
        <v>77</v>
      </c>
      <c r="C28" s="3" t="s">
        <v>78</v>
      </c>
      <c r="D28" s="5" t="s">
        <v>77</v>
      </c>
      <c r="E28" s="5" t="s">
        <v>78</v>
      </c>
      <c r="F28" s="4" t="s">
        <v>79</v>
      </c>
      <c r="G28" s="4" t="s">
        <v>80</v>
      </c>
      <c r="H28" s="4" t="s">
        <v>3</v>
      </c>
      <c r="I28" s="7" t="s">
        <v>81</v>
      </c>
      <c r="J28" s="4" t="s">
        <v>82</v>
      </c>
    </row>
    <row r="29" spans="1:10" ht="50.1" customHeight="1">
      <c r="A29" s="4">
        <v>23</v>
      </c>
      <c r="B29" s="3" t="s">
        <v>83</v>
      </c>
      <c r="C29" s="3" t="s">
        <v>84</v>
      </c>
      <c r="D29" s="5" t="s">
        <v>21</v>
      </c>
      <c r="E29" s="5" t="s">
        <v>20</v>
      </c>
      <c r="F29" s="4" t="s">
        <v>21</v>
      </c>
      <c r="G29" s="4" t="s">
        <v>20</v>
      </c>
      <c r="H29" s="4" t="s">
        <v>2</v>
      </c>
      <c r="I29" s="3"/>
      <c r="J29" s="4" t="s">
        <v>82</v>
      </c>
    </row>
    <row r="30" spans="1:10" ht="50.1" customHeight="1">
      <c r="A30" s="4">
        <v>24</v>
      </c>
      <c r="B30" s="3" t="s">
        <v>85</v>
      </c>
      <c r="C30" s="3" t="s">
        <v>86</v>
      </c>
      <c r="D30" s="5" t="s">
        <v>87</v>
      </c>
      <c r="E30" s="5" t="s">
        <v>88</v>
      </c>
      <c r="F30" s="4" t="s">
        <v>21</v>
      </c>
      <c r="G30" s="4" t="s">
        <v>20</v>
      </c>
      <c r="H30" s="4" t="s">
        <v>4</v>
      </c>
      <c r="I30" t="s">
        <v>89</v>
      </c>
      <c r="J30" s="4" t="s">
        <v>82</v>
      </c>
    </row>
    <row r="31" spans="1:10" ht="50.1" customHeight="1">
      <c r="A31" s="4">
        <v>25</v>
      </c>
      <c r="B31" s="3" t="s">
        <v>83</v>
      </c>
      <c r="C31" s="3" t="s">
        <v>84</v>
      </c>
      <c r="D31" s="5" t="s">
        <v>21</v>
      </c>
      <c r="E31" s="5" t="s">
        <v>20</v>
      </c>
      <c r="F31" s="4" t="s">
        <v>21</v>
      </c>
      <c r="G31" s="4" t="s">
        <v>20</v>
      </c>
      <c r="H31" s="4" t="s">
        <v>2</v>
      </c>
      <c r="I31" s="3"/>
      <c r="J31" s="4" t="s">
        <v>82</v>
      </c>
    </row>
    <row r="32" spans="1:10" ht="50.1" customHeight="1">
      <c r="A32" s="4">
        <v>26</v>
      </c>
      <c r="B32" s="3" t="s">
        <v>90</v>
      </c>
      <c r="C32" s="3" t="s">
        <v>91</v>
      </c>
      <c r="D32" s="5" t="s">
        <v>19</v>
      </c>
      <c r="E32" s="5" t="s">
        <v>20</v>
      </c>
      <c r="F32" s="4" t="s">
        <v>21</v>
      </c>
      <c r="G32" s="4" t="s">
        <v>20</v>
      </c>
      <c r="H32" s="4" t="s">
        <v>2</v>
      </c>
      <c r="I32" s="3"/>
      <c r="J32" s="4" t="s">
        <v>82</v>
      </c>
    </row>
    <row r="33" spans="1:10" ht="50.1" customHeight="1">
      <c r="A33" s="4">
        <v>27</v>
      </c>
      <c r="B33" s="3" t="s">
        <v>92</v>
      </c>
      <c r="C33" s="3" t="s">
        <v>93</v>
      </c>
      <c r="D33" s="5" t="s">
        <v>19</v>
      </c>
      <c r="E33" s="5" t="s">
        <v>20</v>
      </c>
      <c r="F33" s="4" t="s">
        <v>21</v>
      </c>
      <c r="G33" s="4" t="s">
        <v>20</v>
      </c>
      <c r="H33" s="4" t="s">
        <v>2</v>
      </c>
      <c r="I33" s="3"/>
      <c r="J33" s="4" t="s">
        <v>82</v>
      </c>
    </row>
    <row r="34" spans="1:10" ht="50.1" customHeight="1">
      <c r="A34" s="4">
        <v>28</v>
      </c>
      <c r="B34" s="3" t="s">
        <v>94</v>
      </c>
      <c r="C34" s="3" t="s">
        <v>95</v>
      </c>
      <c r="D34" s="5" t="s">
        <v>19</v>
      </c>
      <c r="E34" s="5" t="s">
        <v>20</v>
      </c>
      <c r="F34" s="4" t="s">
        <v>21</v>
      </c>
      <c r="G34" s="4" t="s">
        <v>20</v>
      </c>
      <c r="H34" s="4" t="s">
        <v>2</v>
      </c>
      <c r="I34" s="3"/>
      <c r="J34" s="4" t="s">
        <v>82</v>
      </c>
    </row>
    <row r="35" spans="1:10" ht="50.1" customHeight="1">
      <c r="A35" s="4">
        <v>29</v>
      </c>
      <c r="B35" s="3" t="s">
        <v>96</v>
      </c>
      <c r="C35" s="3" t="s">
        <v>97</v>
      </c>
      <c r="D35" s="5" t="s">
        <v>98</v>
      </c>
      <c r="E35" s="5" t="s">
        <v>88</v>
      </c>
      <c r="F35" s="4" t="s">
        <v>21</v>
      </c>
      <c r="G35" s="4" t="s">
        <v>20</v>
      </c>
      <c r="H35" s="4" t="s">
        <v>4</v>
      </c>
      <c r="I35" t="s">
        <v>89</v>
      </c>
      <c r="J35" s="4" t="s">
        <v>82</v>
      </c>
    </row>
    <row r="36" spans="1:10" ht="50.1" customHeight="1">
      <c r="A36" s="4">
        <v>30</v>
      </c>
      <c r="B36" s="3" t="s">
        <v>99</v>
      </c>
      <c r="C36" s="3" t="s">
        <v>100</v>
      </c>
      <c r="D36" s="5" t="s">
        <v>19</v>
      </c>
      <c r="E36" s="5" t="s">
        <v>20</v>
      </c>
      <c r="F36" s="4" t="s">
        <v>21</v>
      </c>
      <c r="G36" s="4" t="s">
        <v>20</v>
      </c>
      <c r="H36" s="4" t="s">
        <v>2</v>
      </c>
      <c r="I36" s="3"/>
      <c r="J36" s="4" t="s">
        <v>82</v>
      </c>
    </row>
    <row r="37" spans="1:10" ht="50.1" customHeight="1">
      <c r="A37" s="4">
        <v>31</v>
      </c>
      <c r="B37" s="3" t="s">
        <v>101</v>
      </c>
      <c r="C37" s="3" t="s">
        <v>102</v>
      </c>
      <c r="D37" s="5" t="s">
        <v>103</v>
      </c>
      <c r="E37" s="5" t="s">
        <v>104</v>
      </c>
      <c r="F37" s="4" t="s">
        <v>105</v>
      </c>
      <c r="G37" s="4" t="s">
        <v>104</v>
      </c>
      <c r="H37" s="4" t="s">
        <v>2</v>
      </c>
      <c r="I37" s="3"/>
      <c r="J37" s="4" t="s">
        <v>82</v>
      </c>
    </row>
    <row r="38" spans="1:10" ht="50.1" customHeight="1">
      <c r="A38" s="4">
        <v>32</v>
      </c>
      <c r="B38" s="3" t="s">
        <v>49</v>
      </c>
      <c r="C38" s="3" t="s">
        <v>50</v>
      </c>
      <c r="D38" s="5" t="s">
        <v>19</v>
      </c>
      <c r="E38" s="5" t="s">
        <v>20</v>
      </c>
      <c r="F38" s="4" t="s">
        <v>21</v>
      </c>
      <c r="G38" s="4" t="s">
        <v>20</v>
      </c>
      <c r="H38" s="4" t="s">
        <v>2</v>
      </c>
      <c r="I38" s="3"/>
      <c r="J38" s="4" t="s">
        <v>82</v>
      </c>
    </row>
    <row r="39" spans="1:10" ht="50.1" customHeight="1">
      <c r="A39" s="4">
        <v>33</v>
      </c>
      <c r="B39" s="3" t="s">
        <v>106</v>
      </c>
      <c r="C39" s="3" t="s">
        <v>107</v>
      </c>
      <c r="D39" s="5" t="s">
        <v>19</v>
      </c>
      <c r="E39" s="5" t="s">
        <v>20</v>
      </c>
      <c r="F39" s="4" t="s">
        <v>21</v>
      </c>
      <c r="G39" s="4" t="s">
        <v>20</v>
      </c>
      <c r="H39" s="4" t="s">
        <v>2</v>
      </c>
      <c r="I39" s="3"/>
      <c r="J39" s="4" t="s">
        <v>82</v>
      </c>
    </row>
    <row r="40" spans="1:10" ht="50.1" customHeight="1">
      <c r="A40" s="4">
        <v>34</v>
      </c>
      <c r="B40" s="3" t="s">
        <v>51</v>
      </c>
      <c r="C40" s="3" t="s">
        <v>52</v>
      </c>
      <c r="D40" s="5" t="s">
        <v>19</v>
      </c>
      <c r="E40" s="5" t="s">
        <v>20</v>
      </c>
      <c r="F40" s="4" t="s">
        <v>21</v>
      </c>
      <c r="G40" s="4" t="s">
        <v>20</v>
      </c>
      <c r="H40" s="4" t="s">
        <v>2</v>
      </c>
      <c r="I40" s="3"/>
      <c r="J40" s="4" t="s">
        <v>82</v>
      </c>
    </row>
    <row r="41" spans="1:10" ht="50.1" customHeight="1">
      <c r="A41" s="4">
        <v>35</v>
      </c>
      <c r="B41" s="3" t="s">
        <v>51</v>
      </c>
      <c r="C41" s="3" t="s">
        <v>52</v>
      </c>
      <c r="D41" s="5" t="s">
        <v>19</v>
      </c>
      <c r="E41" s="5" t="s">
        <v>20</v>
      </c>
      <c r="F41" s="4" t="s">
        <v>21</v>
      </c>
      <c r="G41" s="4" t="s">
        <v>20</v>
      </c>
      <c r="H41" s="4" t="s">
        <v>2</v>
      </c>
      <c r="I41" s="3"/>
      <c r="J41" s="4" t="s">
        <v>82</v>
      </c>
    </row>
    <row r="42" spans="1:10" ht="50.1" customHeight="1">
      <c r="A42" s="4">
        <v>36</v>
      </c>
      <c r="B42" s="3" t="s">
        <v>108</v>
      </c>
      <c r="C42" s="3" t="s">
        <v>109</v>
      </c>
      <c r="D42" s="5" t="s">
        <v>19</v>
      </c>
      <c r="E42" s="5" t="s">
        <v>20</v>
      </c>
      <c r="F42" s="4" t="s">
        <v>21</v>
      </c>
      <c r="G42" s="4" t="s">
        <v>20</v>
      </c>
      <c r="H42" s="4" t="s">
        <v>2</v>
      </c>
      <c r="I42" s="3"/>
      <c r="J42" s="4" t="s">
        <v>82</v>
      </c>
    </row>
    <row r="43" spans="1:10" ht="50.1" customHeight="1">
      <c r="A43" s="4">
        <v>37</v>
      </c>
      <c r="B43" s="3" t="s">
        <v>61</v>
      </c>
      <c r="C43" s="3" t="s">
        <v>62</v>
      </c>
      <c r="D43" s="5" t="s">
        <v>63</v>
      </c>
      <c r="E43" s="5" t="s">
        <v>62</v>
      </c>
      <c r="F43" s="4" t="s">
        <v>63</v>
      </c>
      <c r="G43" s="4" t="s">
        <v>62</v>
      </c>
      <c r="H43" s="4" t="s">
        <v>2</v>
      </c>
      <c r="I43" s="3"/>
      <c r="J43" s="4" t="s">
        <v>82</v>
      </c>
    </row>
    <row r="44" spans="1:10" ht="50.1" customHeight="1">
      <c r="A44" s="4">
        <v>38</v>
      </c>
      <c r="B44" s="3" t="s">
        <v>110</v>
      </c>
      <c r="C44" s="3" t="s">
        <v>111</v>
      </c>
      <c r="D44" s="5" t="s">
        <v>110</v>
      </c>
      <c r="E44" s="5" t="s">
        <v>111</v>
      </c>
      <c r="F44" s="4" t="s">
        <v>112</v>
      </c>
      <c r="G44" s="4" t="s">
        <v>113</v>
      </c>
      <c r="H44" s="4" t="s">
        <v>2</v>
      </c>
      <c r="I44" s="3"/>
      <c r="J44" s="4" t="s">
        <v>82</v>
      </c>
    </row>
    <row r="45" spans="1:10" ht="50.1" customHeight="1">
      <c r="A45" s="4">
        <v>39</v>
      </c>
      <c r="B45" s="3" t="s">
        <v>63</v>
      </c>
      <c r="C45" s="3" t="s">
        <v>62</v>
      </c>
      <c r="D45" s="5" t="s">
        <v>63</v>
      </c>
      <c r="E45" s="5" t="s">
        <v>62</v>
      </c>
      <c r="F45" s="4" t="s">
        <v>63</v>
      </c>
      <c r="G45" s="4" t="s">
        <v>62</v>
      </c>
      <c r="H45" s="4" t="s">
        <v>2</v>
      </c>
      <c r="I45" s="3"/>
      <c r="J45" s="4" t="s">
        <v>82</v>
      </c>
    </row>
    <row r="46" spans="1:10" ht="50.1" customHeight="1">
      <c r="A46" s="4">
        <v>40</v>
      </c>
      <c r="B46" s="3" t="s">
        <v>114</v>
      </c>
      <c r="C46" s="3" t="s">
        <v>20</v>
      </c>
      <c r="D46" s="5" t="s">
        <v>21</v>
      </c>
      <c r="E46" s="5" t="s">
        <v>20</v>
      </c>
      <c r="F46" s="4" t="s">
        <v>21</v>
      </c>
      <c r="G46" s="4" t="s">
        <v>20</v>
      </c>
      <c r="H46" s="4" t="s">
        <v>2</v>
      </c>
      <c r="I46" s="3"/>
      <c r="J46" s="4" t="s">
        <v>82</v>
      </c>
    </row>
    <row r="47" spans="1:10" ht="50.1" customHeight="1">
      <c r="A47" s="4">
        <v>41</v>
      </c>
      <c r="B47" s="3" t="s">
        <v>115</v>
      </c>
      <c r="C47" s="3" t="s">
        <v>116</v>
      </c>
      <c r="D47" s="5" t="s">
        <v>19</v>
      </c>
      <c r="E47" s="5" t="s">
        <v>20</v>
      </c>
      <c r="F47" s="4" t="s">
        <v>21</v>
      </c>
      <c r="G47" s="4" t="s">
        <v>20</v>
      </c>
      <c r="H47" s="4" t="s">
        <v>2</v>
      </c>
      <c r="I47" s="3"/>
      <c r="J47" s="4" t="s">
        <v>117</v>
      </c>
    </row>
    <row r="48" spans="1:10" ht="50.1" customHeight="1">
      <c r="A48" s="4">
        <v>42</v>
      </c>
      <c r="B48" s="3" t="s">
        <v>118</v>
      </c>
      <c r="C48" s="3" t="s">
        <v>119</v>
      </c>
      <c r="D48" s="5" t="s">
        <v>32</v>
      </c>
      <c r="E48" s="5" t="s">
        <v>33</v>
      </c>
      <c r="F48" s="4" t="s">
        <v>34</v>
      </c>
      <c r="G48" s="4" t="s">
        <v>33</v>
      </c>
      <c r="H48" s="4" t="s">
        <v>2</v>
      </c>
      <c r="I48" s="3"/>
      <c r="J48" s="4" t="s">
        <v>117</v>
      </c>
    </row>
    <row r="49" spans="1:10" ht="50.1" customHeight="1">
      <c r="A49" s="4">
        <v>43</v>
      </c>
      <c r="B49" s="3" t="s">
        <v>120</v>
      </c>
      <c r="C49" s="3" t="s">
        <v>121</v>
      </c>
      <c r="D49" s="5" t="s">
        <v>32</v>
      </c>
      <c r="E49" s="5" t="s">
        <v>33</v>
      </c>
      <c r="F49" s="4" t="s">
        <v>34</v>
      </c>
      <c r="G49" s="4" t="s">
        <v>33</v>
      </c>
      <c r="H49" s="4" t="s">
        <v>2</v>
      </c>
      <c r="I49" s="3"/>
      <c r="J49" s="4" t="s">
        <v>117</v>
      </c>
    </row>
    <row r="50" spans="1:10" ht="50.1" customHeight="1">
      <c r="A50" s="4">
        <v>44</v>
      </c>
      <c r="B50" s="3" t="s">
        <v>122</v>
      </c>
      <c r="C50" s="3" t="s">
        <v>123</v>
      </c>
      <c r="D50" s="5" t="s">
        <v>32</v>
      </c>
      <c r="E50" s="5" t="s">
        <v>33</v>
      </c>
      <c r="F50" s="4" t="s">
        <v>34</v>
      </c>
      <c r="G50" s="4" t="s">
        <v>33</v>
      </c>
      <c r="H50" s="4" t="s">
        <v>2</v>
      </c>
      <c r="I50" s="3"/>
      <c r="J50" s="4" t="s">
        <v>117</v>
      </c>
    </row>
    <row r="51" spans="1:10" ht="50.1" customHeight="1">
      <c r="A51" s="4">
        <v>45</v>
      </c>
      <c r="B51" s="3" t="s">
        <v>30</v>
      </c>
      <c r="C51" s="3" t="s">
        <v>31</v>
      </c>
      <c r="D51" s="5" t="s">
        <v>40</v>
      </c>
      <c r="E51" s="5" t="s">
        <v>41</v>
      </c>
      <c r="F51" s="4" t="s">
        <v>42</v>
      </c>
      <c r="G51" s="4" t="s">
        <v>43</v>
      </c>
      <c r="H51" s="4" t="s">
        <v>4</v>
      </c>
      <c r="I51" t="s">
        <v>124</v>
      </c>
      <c r="J51" s="4" t="s">
        <v>117</v>
      </c>
    </row>
    <row r="52" spans="1:10" ht="50.1" customHeight="1">
      <c r="A52" s="4">
        <v>46</v>
      </c>
      <c r="B52" s="3" t="s">
        <v>125</v>
      </c>
      <c r="C52" s="3" t="s">
        <v>126</v>
      </c>
      <c r="D52" s="5" t="s">
        <v>127</v>
      </c>
      <c r="E52" s="5" t="s">
        <v>128</v>
      </c>
      <c r="F52" s="4" t="s">
        <v>127</v>
      </c>
      <c r="G52" s="4" t="s">
        <v>128</v>
      </c>
      <c r="H52" s="4" t="s">
        <v>2</v>
      </c>
      <c r="I52" s="3"/>
      <c r="J52" s="4" t="s">
        <v>117</v>
      </c>
    </row>
    <row r="53" spans="1:10" ht="50.1" customHeight="1">
      <c r="A53" s="4">
        <v>47</v>
      </c>
      <c r="B53" s="3" t="s">
        <v>129</v>
      </c>
      <c r="C53" s="3" t="s">
        <v>130</v>
      </c>
      <c r="D53" s="5" t="s">
        <v>40</v>
      </c>
      <c r="E53" s="5" t="s">
        <v>41</v>
      </c>
      <c r="F53" s="4" t="s">
        <v>42</v>
      </c>
      <c r="G53" s="4" t="s">
        <v>43</v>
      </c>
      <c r="H53" s="4" t="s">
        <v>4</v>
      </c>
      <c r="I53" t="s">
        <v>124</v>
      </c>
      <c r="J53" s="4" t="s">
        <v>117</v>
      </c>
    </row>
    <row r="54" spans="1:10" ht="50.1" customHeight="1">
      <c r="A54" s="4">
        <v>48</v>
      </c>
      <c r="B54" s="3" t="s">
        <v>131</v>
      </c>
      <c r="C54" s="3" t="s">
        <v>38</v>
      </c>
      <c r="D54" s="5" t="s">
        <v>40</v>
      </c>
      <c r="E54" s="5" t="s">
        <v>41</v>
      </c>
      <c r="F54" s="4" t="s">
        <v>42</v>
      </c>
      <c r="G54" s="4" t="s">
        <v>43</v>
      </c>
      <c r="H54" s="4" t="s">
        <v>4</v>
      </c>
      <c r="I54" t="s">
        <v>124</v>
      </c>
      <c r="J54" s="4" t="s">
        <v>117</v>
      </c>
    </row>
    <row r="55" spans="1:10" ht="50.1" customHeight="1">
      <c r="A55" s="4">
        <v>49</v>
      </c>
      <c r="B55" s="3" t="s">
        <v>132</v>
      </c>
      <c r="C55" s="3" t="s">
        <v>133</v>
      </c>
      <c r="D55" s="5" t="s">
        <v>40</v>
      </c>
      <c r="E55" s="5" t="s">
        <v>41</v>
      </c>
      <c r="F55" s="4" t="s">
        <v>42</v>
      </c>
      <c r="G55" s="4" t="s">
        <v>43</v>
      </c>
      <c r="H55" s="4" t="s">
        <v>4</v>
      </c>
      <c r="I55" t="s">
        <v>124</v>
      </c>
      <c r="J55" s="4" t="s">
        <v>117</v>
      </c>
    </row>
    <row r="56" spans="1:10" ht="50.1" customHeight="1">
      <c r="A56" s="4">
        <v>50</v>
      </c>
      <c r="B56" s="3" t="s">
        <v>134</v>
      </c>
      <c r="C56" s="3" t="s">
        <v>135</v>
      </c>
      <c r="D56" s="5" t="s">
        <v>105</v>
      </c>
      <c r="E56" s="5" t="s">
        <v>104</v>
      </c>
      <c r="F56" s="4" t="s">
        <v>105</v>
      </c>
      <c r="G56" s="4" t="s">
        <v>104</v>
      </c>
      <c r="H56" s="4" t="s">
        <v>2</v>
      </c>
      <c r="I56" s="3"/>
      <c r="J56" s="4" t="s">
        <v>117</v>
      </c>
    </row>
    <row r="57" spans="1:10" ht="50.1" customHeight="1">
      <c r="A57" s="4">
        <v>51</v>
      </c>
      <c r="B57" s="3" t="s">
        <v>136</v>
      </c>
      <c r="C57" s="3" t="s">
        <v>137</v>
      </c>
      <c r="D57" s="5" t="s">
        <v>21</v>
      </c>
      <c r="E57" s="5" t="s">
        <v>20</v>
      </c>
      <c r="F57" s="4" t="s">
        <v>21</v>
      </c>
      <c r="G57" s="4" t="s">
        <v>20</v>
      </c>
      <c r="H57" s="4" t="s">
        <v>2</v>
      </c>
      <c r="I57" s="3"/>
      <c r="J57" s="4" t="s">
        <v>117</v>
      </c>
    </row>
    <row r="58" spans="1:10" ht="50.1" customHeight="1">
      <c r="A58" s="4">
        <v>52</v>
      </c>
      <c r="B58" s="3" t="s">
        <v>136</v>
      </c>
      <c r="C58" s="3" t="s">
        <v>137</v>
      </c>
      <c r="D58" s="5" t="s">
        <v>21</v>
      </c>
      <c r="E58" s="5" t="s">
        <v>20</v>
      </c>
      <c r="F58" s="4" t="s">
        <v>21</v>
      </c>
      <c r="G58" s="4" t="s">
        <v>20</v>
      </c>
      <c r="H58" s="4" t="s">
        <v>2</v>
      </c>
      <c r="I58" s="3"/>
      <c r="J58" s="4" t="s">
        <v>117</v>
      </c>
    </row>
    <row r="59" spans="1:10" ht="50.1" customHeight="1">
      <c r="A59" s="4">
        <v>53</v>
      </c>
      <c r="B59" s="3" t="s">
        <v>35</v>
      </c>
      <c r="C59" s="3" t="s">
        <v>36</v>
      </c>
      <c r="D59" s="5" t="s">
        <v>40</v>
      </c>
      <c r="E59" s="5" t="s">
        <v>41</v>
      </c>
      <c r="F59" s="4" t="s">
        <v>42</v>
      </c>
      <c r="G59" s="4" t="s">
        <v>43</v>
      </c>
      <c r="H59" s="4" t="s">
        <v>4</v>
      </c>
      <c r="I59" s="3"/>
      <c r="J59" s="4" t="s">
        <v>117</v>
      </c>
    </row>
    <row r="60" spans="1:10" ht="50.1" customHeight="1">
      <c r="A60" s="4">
        <v>54</v>
      </c>
      <c r="B60" s="3" t="s">
        <v>138</v>
      </c>
      <c r="C60" s="3" t="s">
        <v>36</v>
      </c>
      <c r="D60" s="5" t="s">
        <v>40</v>
      </c>
      <c r="E60" s="5" t="s">
        <v>41</v>
      </c>
      <c r="F60" s="4" t="s">
        <v>42</v>
      </c>
      <c r="G60" s="4" t="s">
        <v>43</v>
      </c>
      <c r="H60" s="4" t="s">
        <v>4</v>
      </c>
      <c r="I60" s="3"/>
      <c r="J60" s="4" t="s">
        <v>117</v>
      </c>
    </row>
    <row r="61" spans="1:10" ht="50.1" customHeight="1">
      <c r="A61" s="4">
        <v>55</v>
      </c>
      <c r="B61" s="3" t="s">
        <v>32</v>
      </c>
      <c r="C61" s="3" t="s">
        <v>33</v>
      </c>
      <c r="D61" s="5" t="s">
        <v>32</v>
      </c>
      <c r="E61" s="5" t="s">
        <v>33</v>
      </c>
      <c r="F61" s="4" t="s">
        <v>34</v>
      </c>
      <c r="G61" s="4" t="s">
        <v>33</v>
      </c>
      <c r="H61" s="4" t="s">
        <v>2</v>
      </c>
      <c r="I61" s="3"/>
      <c r="J61" s="4" t="s">
        <v>117</v>
      </c>
    </row>
    <row r="62" spans="1:10" ht="50.1" customHeight="1">
      <c r="A62" s="4">
        <v>56</v>
      </c>
      <c r="B62" s="3" t="s">
        <v>139</v>
      </c>
      <c r="C62" s="3" t="s">
        <v>140</v>
      </c>
      <c r="D62" s="5" t="s">
        <v>19</v>
      </c>
      <c r="E62" s="5" t="s">
        <v>20</v>
      </c>
      <c r="F62" s="4" t="s">
        <v>21</v>
      </c>
      <c r="G62" s="4" t="s">
        <v>20</v>
      </c>
      <c r="H62" s="4" t="s">
        <v>2</v>
      </c>
      <c r="I62" s="3"/>
      <c r="J62" s="4" t="s">
        <v>117</v>
      </c>
    </row>
    <row r="63" spans="1:10" ht="50.1" customHeight="1">
      <c r="A63" s="4">
        <v>57</v>
      </c>
      <c r="B63" s="3" t="s">
        <v>141</v>
      </c>
      <c r="C63" s="3" t="s">
        <v>142</v>
      </c>
      <c r="D63" s="5" t="s">
        <v>143</v>
      </c>
      <c r="E63" s="5" t="s">
        <v>56</v>
      </c>
      <c r="F63" s="4" t="s">
        <v>57</v>
      </c>
      <c r="G63" s="4" t="s">
        <v>56</v>
      </c>
      <c r="H63" s="4" t="s">
        <v>2</v>
      </c>
      <c r="I63" s="3"/>
      <c r="J63" s="4" t="s">
        <v>117</v>
      </c>
    </row>
    <row r="64" spans="1:10" ht="50.1" customHeight="1">
      <c r="A64" s="4">
        <v>58</v>
      </c>
      <c r="B64" s="3" t="s">
        <v>144</v>
      </c>
      <c r="C64" s="3" t="s">
        <v>145</v>
      </c>
      <c r="D64" s="5" t="s">
        <v>68</v>
      </c>
      <c r="E64" s="5" t="s">
        <v>20</v>
      </c>
      <c r="F64" s="4" t="s">
        <v>21</v>
      </c>
      <c r="G64" s="4" t="s">
        <v>20</v>
      </c>
      <c r="H64" s="4" t="s">
        <v>2</v>
      </c>
      <c r="I64" s="3"/>
      <c r="J64" s="4" t="s">
        <v>117</v>
      </c>
    </row>
    <row r="65" spans="1:10" ht="50.1" customHeight="1">
      <c r="A65" s="4">
        <v>59</v>
      </c>
      <c r="B65" s="3" t="s">
        <v>146</v>
      </c>
      <c r="C65" s="3" t="s">
        <v>147</v>
      </c>
      <c r="D65" s="5" t="s">
        <v>148</v>
      </c>
      <c r="E65" s="5" t="s">
        <v>62</v>
      </c>
      <c r="F65" s="4" t="s">
        <v>63</v>
      </c>
      <c r="G65" s="4" t="s">
        <v>62</v>
      </c>
      <c r="H65" s="4" t="s">
        <v>2</v>
      </c>
      <c r="I65" s="3"/>
      <c r="J65" s="4" t="s">
        <v>117</v>
      </c>
    </row>
    <row r="66" spans="1:10" ht="50.1" customHeight="1">
      <c r="A66" s="4">
        <v>60</v>
      </c>
      <c r="B66" s="3" t="s">
        <v>71</v>
      </c>
      <c r="C66" s="3" t="s">
        <v>72</v>
      </c>
      <c r="D66" s="5" t="s">
        <v>71</v>
      </c>
      <c r="E66" s="5" t="s">
        <v>72</v>
      </c>
      <c r="F66" s="4" t="s">
        <v>57</v>
      </c>
      <c r="G66" s="4" t="s">
        <v>56</v>
      </c>
      <c r="H66" s="4" t="s">
        <v>2</v>
      </c>
      <c r="I66" s="3"/>
      <c r="J66" s="4" t="s">
        <v>117</v>
      </c>
    </row>
  </sheetData>
  <mergeCells count="3">
    <mergeCell ref="A1:H1"/>
    <mergeCell ref="A3:H3"/>
    <mergeCell ref="A4:H4"/>
  </mergeCells>
  <conditionalFormatting sqref="F7:F66">
    <cfRule type="expression" dxfId="14" priority="1">
      <formula>F7="CORRECT"</formula>
    </cfRule>
    <cfRule type="expression" dxfId="13" priority="2">
      <formula>F7="INCORRECT"</formula>
    </cfRule>
    <cfRule type="expression" dxfId="12" priority="3">
      <formula>F7="AMBIGUOUS"</formula>
    </cfRule>
  </conditionalFormatting>
  <conditionalFormatting sqref="H7:H66">
    <cfRule type="expression" dxfId="11" priority="4">
      <formula>H7="CORRECT"</formula>
    </cfRule>
    <cfRule type="expression" dxfId="10" priority="5">
      <formula>H7="INCORRECT"</formula>
    </cfRule>
    <cfRule type="expression" dxfId="9" priority="6">
      <formula>H7="AMBIGUOUS"</formula>
    </cfRule>
  </conditionalFormatting>
  <dataValidations count="1">
    <dataValidation type="list" sqref="F7:F66 H7:H66" xr:uid="{00000000-0002-0000-0000-000000000000}">
      <formula1>"CORRECT,INCORRECT,AMBIGUOUS"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"/>
  <sheetViews>
    <sheetView zoomScaleNormal="100" zoomScaleSheetLayoutView="100" workbookViewId="0"/>
  </sheetViews>
  <sheetFormatPr defaultRowHeight="15"/>
  <cols>
    <col min="1" max="3" width="18" customWidth="1"/>
    <col min="4" max="6" width="36" customWidth="1"/>
    <col min="7" max="11" width="18" customWidth="1"/>
    <col min="12" max="12" width="36" customWidth="1"/>
    <col min="13" max="15" width="18" customWidth="1"/>
  </cols>
  <sheetData>
    <row r="1" spans="1:15">
      <c r="A1" s="6" t="s">
        <v>149</v>
      </c>
      <c r="B1" s="6" t="s">
        <v>150</v>
      </c>
      <c r="C1" s="6" t="s">
        <v>151</v>
      </c>
      <c r="D1" s="6" t="s">
        <v>152</v>
      </c>
      <c r="E1" s="6" t="s">
        <v>153</v>
      </c>
      <c r="F1" s="6" t="s">
        <v>154</v>
      </c>
      <c r="G1" s="6" t="s">
        <v>155</v>
      </c>
      <c r="H1" s="6" t="s">
        <v>156</v>
      </c>
      <c r="I1" s="6" t="s">
        <v>157</v>
      </c>
      <c r="J1" s="6" t="s">
        <v>158</v>
      </c>
      <c r="K1" s="6" t="s">
        <v>159</v>
      </c>
      <c r="L1" s="6" t="s">
        <v>160</v>
      </c>
      <c r="M1" s="6" t="s">
        <v>161</v>
      </c>
      <c r="N1" s="6" t="s">
        <v>162</v>
      </c>
      <c r="O1" s="6" t="s">
        <v>163</v>
      </c>
    </row>
    <row r="2" spans="1:15">
      <c r="A2" s="2" t="s">
        <v>164</v>
      </c>
      <c r="B2" s="2" t="s">
        <v>165</v>
      </c>
      <c r="C2" s="2" t="s">
        <v>22</v>
      </c>
      <c r="D2" s="2" t="s">
        <v>17</v>
      </c>
      <c r="E2" s="2" t="s">
        <v>18</v>
      </c>
      <c r="F2" s="2" t="s">
        <v>166</v>
      </c>
      <c r="G2" s="2" t="s">
        <v>19</v>
      </c>
      <c r="H2" s="2" t="s">
        <v>19</v>
      </c>
      <c r="I2" s="2" t="s">
        <v>21</v>
      </c>
      <c r="J2" s="2" t="s">
        <v>167</v>
      </c>
      <c r="K2" s="2"/>
      <c r="L2" s="2"/>
      <c r="M2" s="2" t="s">
        <v>168</v>
      </c>
      <c r="N2" s="2" t="s">
        <v>169</v>
      </c>
      <c r="O2" s="2" t="s">
        <v>170</v>
      </c>
    </row>
    <row r="3" spans="1:15">
      <c r="A3" s="2" t="s">
        <v>171</v>
      </c>
      <c r="B3" s="2" t="s">
        <v>172</v>
      </c>
      <c r="C3" s="2" t="s">
        <v>22</v>
      </c>
      <c r="D3" s="2" t="s">
        <v>23</v>
      </c>
      <c r="E3" s="2" t="s">
        <v>24</v>
      </c>
      <c r="F3" s="2" t="s">
        <v>173</v>
      </c>
      <c r="G3" s="2" t="s">
        <v>25</v>
      </c>
      <c r="H3" s="2" t="s">
        <v>25</v>
      </c>
      <c r="I3" s="2" t="s">
        <v>27</v>
      </c>
      <c r="J3" s="2" t="s">
        <v>167</v>
      </c>
      <c r="K3" s="2"/>
      <c r="L3" s="2"/>
      <c r="M3" s="2" t="s">
        <v>168</v>
      </c>
      <c r="N3" s="2" t="s">
        <v>169</v>
      </c>
      <c r="O3" s="2" t="s">
        <v>170</v>
      </c>
    </row>
    <row r="4" spans="1:15">
      <c r="A4" s="2" t="s">
        <v>174</v>
      </c>
      <c r="B4" s="2" t="s">
        <v>175</v>
      </c>
      <c r="C4" s="2" t="s">
        <v>22</v>
      </c>
      <c r="D4" s="2" t="s">
        <v>29</v>
      </c>
      <c r="E4" s="2" t="s">
        <v>18</v>
      </c>
      <c r="F4" s="2" t="s">
        <v>166</v>
      </c>
      <c r="G4" s="2" t="s">
        <v>19</v>
      </c>
      <c r="H4" s="2" t="s">
        <v>19</v>
      </c>
      <c r="I4" s="2" t="s">
        <v>21</v>
      </c>
      <c r="J4" s="2" t="s">
        <v>167</v>
      </c>
      <c r="K4" s="2"/>
      <c r="L4" s="2"/>
      <c r="M4" s="2" t="s">
        <v>168</v>
      </c>
      <c r="N4" s="2" t="s">
        <v>169</v>
      </c>
      <c r="O4" s="2" t="s">
        <v>170</v>
      </c>
    </row>
    <row r="5" spans="1:15">
      <c r="A5" s="2" t="s">
        <v>176</v>
      </c>
      <c r="B5" s="2" t="s">
        <v>177</v>
      </c>
      <c r="C5" s="2" t="s">
        <v>22</v>
      </c>
      <c r="D5" s="2" t="s">
        <v>30</v>
      </c>
      <c r="E5" s="2" t="s">
        <v>31</v>
      </c>
      <c r="F5" s="2" t="s">
        <v>178</v>
      </c>
      <c r="G5" s="2" t="s">
        <v>32</v>
      </c>
      <c r="H5" s="2" t="s">
        <v>32</v>
      </c>
      <c r="I5" s="2" t="s">
        <v>34</v>
      </c>
      <c r="J5" s="2" t="s">
        <v>167</v>
      </c>
      <c r="K5" s="2"/>
      <c r="L5" s="2"/>
      <c r="M5" s="2" t="s">
        <v>168</v>
      </c>
      <c r="N5" s="2" t="s">
        <v>169</v>
      </c>
      <c r="O5" s="2" t="s">
        <v>170</v>
      </c>
    </row>
    <row r="6" spans="1:15">
      <c r="A6" s="2" t="s">
        <v>179</v>
      </c>
      <c r="B6" s="2" t="s">
        <v>180</v>
      </c>
      <c r="C6" s="2" t="s">
        <v>22</v>
      </c>
      <c r="D6" s="2" t="s">
        <v>35</v>
      </c>
      <c r="E6" s="2" t="s">
        <v>36</v>
      </c>
      <c r="F6" s="2" t="s">
        <v>181</v>
      </c>
      <c r="G6" s="2" t="s">
        <v>34</v>
      </c>
      <c r="H6" s="2" t="s">
        <v>34</v>
      </c>
      <c r="I6" s="2" t="s">
        <v>34</v>
      </c>
      <c r="J6" s="2" t="s">
        <v>167</v>
      </c>
      <c r="K6" s="2"/>
      <c r="L6" s="2"/>
      <c r="M6" s="2" t="s">
        <v>168</v>
      </c>
      <c r="N6" s="2" t="s">
        <v>169</v>
      </c>
      <c r="O6" s="2" t="s">
        <v>170</v>
      </c>
    </row>
    <row r="7" spans="1:15">
      <c r="A7" s="2" t="s">
        <v>182</v>
      </c>
      <c r="B7" s="2" t="s">
        <v>183</v>
      </c>
      <c r="C7" s="2" t="s">
        <v>22</v>
      </c>
      <c r="D7" s="2" t="s">
        <v>37</v>
      </c>
      <c r="E7" s="2" t="s">
        <v>38</v>
      </c>
      <c r="F7" s="2" t="s">
        <v>184</v>
      </c>
      <c r="G7" s="2" t="s">
        <v>39</v>
      </c>
      <c r="H7" s="2" t="s">
        <v>39</v>
      </c>
      <c r="I7" s="2" t="s">
        <v>34</v>
      </c>
      <c r="J7" s="2" t="s">
        <v>167</v>
      </c>
      <c r="K7" s="2"/>
      <c r="L7" s="2"/>
      <c r="M7" s="2" t="s">
        <v>168</v>
      </c>
      <c r="N7" s="2" t="s">
        <v>169</v>
      </c>
      <c r="O7" s="2" t="s">
        <v>170</v>
      </c>
    </row>
    <row r="8" spans="1:15">
      <c r="A8" s="2" t="s">
        <v>185</v>
      </c>
      <c r="B8" s="2" t="s">
        <v>186</v>
      </c>
      <c r="C8" s="2" t="s">
        <v>22</v>
      </c>
      <c r="D8" s="2" t="s">
        <v>37</v>
      </c>
      <c r="E8" s="2" t="s">
        <v>38</v>
      </c>
      <c r="F8" s="2" t="s">
        <v>184</v>
      </c>
      <c r="G8" s="2" t="s">
        <v>40</v>
      </c>
      <c r="H8" s="2" t="s">
        <v>40</v>
      </c>
      <c r="I8" s="2" t="s">
        <v>42</v>
      </c>
      <c r="J8" s="2" t="s">
        <v>167</v>
      </c>
      <c r="K8" s="2"/>
      <c r="L8" s="2"/>
      <c r="M8" s="2" t="s">
        <v>168</v>
      </c>
      <c r="N8" s="2" t="s">
        <v>169</v>
      </c>
      <c r="O8" s="2" t="s">
        <v>170</v>
      </c>
    </row>
    <row r="9" spans="1:15">
      <c r="A9" s="2" t="s">
        <v>187</v>
      </c>
      <c r="B9" s="2" t="s">
        <v>188</v>
      </c>
      <c r="C9" s="2" t="s">
        <v>22</v>
      </c>
      <c r="D9" s="2" t="s">
        <v>44</v>
      </c>
      <c r="E9" s="2" t="s">
        <v>45</v>
      </c>
      <c r="F9" s="2" t="s">
        <v>189</v>
      </c>
      <c r="G9" s="2" t="s">
        <v>46</v>
      </c>
      <c r="H9" s="2" t="s">
        <v>46</v>
      </c>
      <c r="I9" s="2" t="s">
        <v>48</v>
      </c>
      <c r="J9" s="2" t="s">
        <v>167</v>
      </c>
      <c r="K9" s="2"/>
      <c r="L9" s="2"/>
      <c r="M9" s="2" t="s">
        <v>168</v>
      </c>
      <c r="N9" s="2" t="s">
        <v>169</v>
      </c>
      <c r="O9" s="2" t="s">
        <v>170</v>
      </c>
    </row>
    <row r="10" spans="1:15">
      <c r="A10" s="2" t="s">
        <v>190</v>
      </c>
      <c r="B10" s="2" t="s">
        <v>191</v>
      </c>
      <c r="C10" s="2" t="s">
        <v>22</v>
      </c>
      <c r="D10" s="2" t="s">
        <v>49</v>
      </c>
      <c r="E10" s="2" t="s">
        <v>50</v>
      </c>
      <c r="F10" s="2" t="s">
        <v>192</v>
      </c>
      <c r="G10" s="2" t="s">
        <v>19</v>
      </c>
      <c r="H10" s="2" t="s">
        <v>19</v>
      </c>
      <c r="I10" s="2" t="s">
        <v>21</v>
      </c>
      <c r="J10" s="2" t="s">
        <v>167</v>
      </c>
      <c r="K10" s="2"/>
      <c r="L10" s="2"/>
      <c r="M10" s="2" t="s">
        <v>168</v>
      </c>
      <c r="N10" s="2" t="s">
        <v>169</v>
      </c>
      <c r="O10" s="2" t="s">
        <v>170</v>
      </c>
    </row>
    <row r="11" spans="1:15">
      <c r="A11" s="2" t="s">
        <v>193</v>
      </c>
      <c r="B11" s="2" t="s">
        <v>194</v>
      </c>
      <c r="C11" s="2" t="s">
        <v>22</v>
      </c>
      <c r="D11" s="2" t="s">
        <v>51</v>
      </c>
      <c r="E11" s="2" t="s">
        <v>52</v>
      </c>
      <c r="F11" s="2" t="s">
        <v>195</v>
      </c>
      <c r="G11" s="2" t="s">
        <v>19</v>
      </c>
      <c r="H11" s="2" t="s">
        <v>19</v>
      </c>
      <c r="I11" s="2" t="s">
        <v>21</v>
      </c>
      <c r="J11" s="2" t="s">
        <v>167</v>
      </c>
      <c r="K11" s="2"/>
      <c r="L11" s="2"/>
      <c r="M11" s="2" t="s">
        <v>168</v>
      </c>
      <c r="N11" s="2" t="s">
        <v>169</v>
      </c>
      <c r="O11" s="2" t="s">
        <v>170</v>
      </c>
    </row>
    <row r="12" spans="1:15">
      <c r="A12" s="2" t="s">
        <v>196</v>
      </c>
      <c r="B12" s="2" t="s">
        <v>197</v>
      </c>
      <c r="C12" s="2" t="s">
        <v>22</v>
      </c>
      <c r="D12" s="2" t="s">
        <v>53</v>
      </c>
      <c r="E12" s="2" t="s">
        <v>54</v>
      </c>
      <c r="F12" s="2" t="s">
        <v>198</v>
      </c>
      <c r="G12" s="2" t="s">
        <v>55</v>
      </c>
      <c r="H12" s="2" t="s">
        <v>55</v>
      </c>
      <c r="I12" s="2" t="s">
        <v>57</v>
      </c>
      <c r="J12" s="2" t="s">
        <v>167</v>
      </c>
      <c r="K12" s="2"/>
      <c r="L12" s="2"/>
      <c r="M12" s="2" t="s">
        <v>168</v>
      </c>
      <c r="N12" s="2" t="s">
        <v>169</v>
      </c>
      <c r="O12" s="2" t="s">
        <v>170</v>
      </c>
    </row>
    <row r="13" spans="1:15">
      <c r="A13" s="2" t="s">
        <v>199</v>
      </c>
      <c r="B13" s="2" t="s">
        <v>200</v>
      </c>
      <c r="C13" s="2" t="s">
        <v>22</v>
      </c>
      <c r="D13" s="2" t="s">
        <v>58</v>
      </c>
      <c r="E13" s="2" t="s">
        <v>59</v>
      </c>
      <c r="F13" s="2" t="s">
        <v>201</v>
      </c>
      <c r="G13" s="2" t="s">
        <v>60</v>
      </c>
      <c r="H13" s="2" t="s">
        <v>60</v>
      </c>
      <c r="I13" s="2" t="s">
        <v>60</v>
      </c>
      <c r="J13" s="2" t="s">
        <v>167</v>
      </c>
      <c r="K13" s="2"/>
      <c r="L13" s="2"/>
      <c r="M13" s="2" t="s">
        <v>202</v>
      </c>
      <c r="N13" s="2" t="s">
        <v>169</v>
      </c>
      <c r="O13" s="2" t="s">
        <v>170</v>
      </c>
    </row>
    <row r="14" spans="1:15">
      <c r="A14" s="2" t="s">
        <v>203</v>
      </c>
      <c r="B14" s="2" t="s">
        <v>204</v>
      </c>
      <c r="C14" s="2" t="s">
        <v>22</v>
      </c>
      <c r="D14" s="2" t="s">
        <v>61</v>
      </c>
      <c r="E14" s="2" t="s">
        <v>62</v>
      </c>
      <c r="F14" s="2" t="s">
        <v>205</v>
      </c>
      <c r="G14" s="2" t="s">
        <v>63</v>
      </c>
      <c r="H14" s="2" t="s">
        <v>63</v>
      </c>
      <c r="I14" s="2" t="s">
        <v>63</v>
      </c>
      <c r="J14" s="2" t="s">
        <v>167</v>
      </c>
      <c r="K14" s="2"/>
      <c r="L14" s="2"/>
      <c r="M14" s="2" t="s">
        <v>202</v>
      </c>
      <c r="N14" s="2" t="s">
        <v>169</v>
      </c>
      <c r="O14" s="2" t="s">
        <v>170</v>
      </c>
    </row>
    <row r="15" spans="1:15">
      <c r="A15" s="2" t="s">
        <v>206</v>
      </c>
      <c r="B15" s="2" t="s">
        <v>207</v>
      </c>
      <c r="C15" s="2" t="s">
        <v>22</v>
      </c>
      <c r="D15" s="2" t="s">
        <v>64</v>
      </c>
      <c r="E15" s="2" t="s">
        <v>65</v>
      </c>
      <c r="F15" s="2" t="s">
        <v>208</v>
      </c>
      <c r="G15" s="2" t="s">
        <v>21</v>
      </c>
      <c r="H15" s="2" t="s">
        <v>21</v>
      </c>
      <c r="I15" s="2" t="s">
        <v>21</v>
      </c>
      <c r="J15" s="2" t="s">
        <v>167</v>
      </c>
      <c r="K15" s="2"/>
      <c r="L15" s="2"/>
      <c r="M15" s="2" t="s">
        <v>168</v>
      </c>
      <c r="N15" s="2" t="s">
        <v>169</v>
      </c>
      <c r="O15" s="2" t="s">
        <v>170</v>
      </c>
    </row>
    <row r="16" spans="1:15">
      <c r="A16" s="2" t="s">
        <v>209</v>
      </c>
      <c r="B16" s="2" t="s">
        <v>210</v>
      </c>
      <c r="C16" s="2" t="s">
        <v>22</v>
      </c>
      <c r="D16" s="2" t="s">
        <v>66</v>
      </c>
      <c r="E16" s="2" t="s">
        <v>67</v>
      </c>
      <c r="F16" s="2" t="s">
        <v>211</v>
      </c>
      <c r="G16" s="2" t="s">
        <v>68</v>
      </c>
      <c r="H16" s="2" t="s">
        <v>68</v>
      </c>
      <c r="I16" s="2" t="s">
        <v>21</v>
      </c>
      <c r="J16" s="2" t="s">
        <v>167</v>
      </c>
      <c r="K16" s="2"/>
      <c r="L16" s="2"/>
      <c r="M16" s="2" t="s">
        <v>168</v>
      </c>
      <c r="N16" s="2" t="s">
        <v>169</v>
      </c>
      <c r="O16" s="2" t="s">
        <v>170</v>
      </c>
    </row>
    <row r="17" spans="1:15">
      <c r="A17" s="2" t="s">
        <v>212</v>
      </c>
      <c r="B17" s="2" t="s">
        <v>213</v>
      </c>
      <c r="C17" s="2" t="s">
        <v>22</v>
      </c>
      <c r="D17" s="2" t="s">
        <v>64</v>
      </c>
      <c r="E17" s="2" t="s">
        <v>65</v>
      </c>
      <c r="F17" s="2" t="s">
        <v>208</v>
      </c>
      <c r="G17" s="2" t="s">
        <v>21</v>
      </c>
      <c r="H17" s="2" t="s">
        <v>21</v>
      </c>
      <c r="I17" s="2" t="s">
        <v>21</v>
      </c>
      <c r="J17" s="2" t="s">
        <v>167</v>
      </c>
      <c r="K17" s="2"/>
      <c r="L17" s="2"/>
      <c r="M17" s="2" t="s">
        <v>168</v>
      </c>
      <c r="N17" s="2" t="s">
        <v>169</v>
      </c>
      <c r="O17" s="2" t="s">
        <v>170</v>
      </c>
    </row>
    <row r="18" spans="1:15">
      <c r="A18" s="2" t="s">
        <v>214</v>
      </c>
      <c r="B18" s="2" t="s">
        <v>215</v>
      </c>
      <c r="C18" s="2" t="s">
        <v>22</v>
      </c>
      <c r="D18" s="2" t="s">
        <v>69</v>
      </c>
      <c r="E18" s="2" t="s">
        <v>70</v>
      </c>
      <c r="F18" s="2" t="s">
        <v>216</v>
      </c>
      <c r="G18" s="2" t="s">
        <v>71</v>
      </c>
      <c r="H18" s="2" t="s">
        <v>71</v>
      </c>
      <c r="I18" s="2" t="s">
        <v>57</v>
      </c>
      <c r="J18" s="2" t="s">
        <v>167</v>
      </c>
      <c r="K18" s="2"/>
      <c r="L18" s="2"/>
      <c r="M18" s="2" t="s">
        <v>168</v>
      </c>
      <c r="N18" s="2" t="s">
        <v>169</v>
      </c>
      <c r="O18" s="2" t="s">
        <v>170</v>
      </c>
    </row>
    <row r="19" spans="1:15">
      <c r="A19" s="2" t="s">
        <v>217</v>
      </c>
      <c r="B19" s="2" t="s">
        <v>218</v>
      </c>
      <c r="C19" s="2" t="s">
        <v>22</v>
      </c>
      <c r="D19" s="2" t="s">
        <v>73</v>
      </c>
      <c r="E19" s="2" t="s">
        <v>74</v>
      </c>
      <c r="F19" s="2" t="s">
        <v>219</v>
      </c>
      <c r="G19" s="2" t="s">
        <v>21</v>
      </c>
      <c r="H19" s="2" t="s">
        <v>21</v>
      </c>
      <c r="I19" s="2" t="s">
        <v>21</v>
      </c>
      <c r="J19" s="2" t="s">
        <v>167</v>
      </c>
      <c r="K19" s="2"/>
      <c r="L19" s="2"/>
      <c r="M19" s="2" t="s">
        <v>168</v>
      </c>
      <c r="N19" s="2" t="s">
        <v>169</v>
      </c>
      <c r="O19" s="2" t="s">
        <v>170</v>
      </c>
    </row>
    <row r="20" spans="1:15">
      <c r="A20" s="2" t="s">
        <v>220</v>
      </c>
      <c r="B20" s="2" t="s">
        <v>221</v>
      </c>
      <c r="C20" s="2" t="s">
        <v>22</v>
      </c>
      <c r="D20" s="2" t="s">
        <v>64</v>
      </c>
      <c r="E20" s="2" t="s">
        <v>65</v>
      </c>
      <c r="F20" s="2" t="s">
        <v>208</v>
      </c>
      <c r="G20" s="2" t="s">
        <v>21</v>
      </c>
      <c r="H20" s="2" t="s">
        <v>21</v>
      </c>
      <c r="I20" s="2" t="s">
        <v>21</v>
      </c>
      <c r="J20" s="2" t="s">
        <v>167</v>
      </c>
      <c r="K20" s="2"/>
      <c r="L20" s="2"/>
      <c r="M20" s="2" t="s">
        <v>168</v>
      </c>
      <c r="N20" s="2" t="s">
        <v>169</v>
      </c>
      <c r="O20" s="2" t="s">
        <v>170</v>
      </c>
    </row>
    <row r="21" spans="1:15">
      <c r="A21" s="2" t="s">
        <v>222</v>
      </c>
      <c r="B21" s="2" t="s">
        <v>223</v>
      </c>
      <c r="C21" s="2" t="s">
        <v>22</v>
      </c>
      <c r="D21" s="2" t="s">
        <v>75</v>
      </c>
      <c r="E21" s="2" t="s">
        <v>76</v>
      </c>
      <c r="F21" s="2" t="s">
        <v>224</v>
      </c>
      <c r="G21" s="2" t="s">
        <v>21</v>
      </c>
      <c r="H21" s="2" t="s">
        <v>21</v>
      </c>
      <c r="I21" s="2" t="s">
        <v>21</v>
      </c>
      <c r="J21" s="2" t="s">
        <v>167</v>
      </c>
      <c r="K21" s="2"/>
      <c r="L21" s="2"/>
      <c r="M21" s="2" t="s">
        <v>168</v>
      </c>
      <c r="N21" s="2" t="s">
        <v>169</v>
      </c>
      <c r="O21" s="2" t="s">
        <v>170</v>
      </c>
    </row>
    <row r="22" spans="1:15">
      <c r="A22" s="2" t="s">
        <v>225</v>
      </c>
      <c r="B22" s="2" t="s">
        <v>226</v>
      </c>
      <c r="C22" s="2" t="s">
        <v>82</v>
      </c>
      <c r="D22" s="2" t="s">
        <v>77</v>
      </c>
      <c r="E22" s="2" t="s">
        <v>78</v>
      </c>
      <c r="F22" s="2" t="s">
        <v>227</v>
      </c>
      <c r="G22" s="2" t="s">
        <v>77</v>
      </c>
      <c r="H22" s="2" t="s">
        <v>77</v>
      </c>
      <c r="I22" s="2" t="s">
        <v>79</v>
      </c>
      <c r="J22" s="2" t="s">
        <v>167</v>
      </c>
      <c r="K22" s="2"/>
      <c r="L22" s="2"/>
      <c r="M22" s="2" t="s">
        <v>202</v>
      </c>
      <c r="N22" s="2" t="s">
        <v>169</v>
      </c>
      <c r="O22" s="2" t="s">
        <v>170</v>
      </c>
    </row>
    <row r="23" spans="1:15">
      <c r="A23" s="2" t="s">
        <v>228</v>
      </c>
      <c r="B23" s="2" t="s">
        <v>229</v>
      </c>
      <c r="C23" s="2" t="s">
        <v>82</v>
      </c>
      <c r="D23" s="2" t="s">
        <v>77</v>
      </c>
      <c r="E23" s="2" t="s">
        <v>78</v>
      </c>
      <c r="F23" s="2" t="s">
        <v>227</v>
      </c>
      <c r="G23" s="2" t="s">
        <v>77</v>
      </c>
      <c r="H23" s="2" t="s">
        <v>77</v>
      </c>
      <c r="I23" s="2" t="s">
        <v>79</v>
      </c>
      <c r="J23" s="2" t="s">
        <v>167</v>
      </c>
      <c r="K23" s="2"/>
      <c r="L23" s="2"/>
      <c r="M23" s="2" t="s">
        <v>202</v>
      </c>
      <c r="N23" s="2" t="s">
        <v>169</v>
      </c>
      <c r="O23" s="2" t="s">
        <v>170</v>
      </c>
    </row>
    <row r="24" spans="1:15">
      <c r="A24" s="2" t="s">
        <v>230</v>
      </c>
      <c r="B24" s="2" t="s">
        <v>231</v>
      </c>
      <c r="C24" s="2" t="s">
        <v>82</v>
      </c>
      <c r="D24" s="2" t="s">
        <v>83</v>
      </c>
      <c r="E24" s="2" t="s">
        <v>84</v>
      </c>
      <c r="F24" s="2" t="s">
        <v>232</v>
      </c>
      <c r="G24" s="2" t="s">
        <v>21</v>
      </c>
      <c r="H24" s="2" t="s">
        <v>21</v>
      </c>
      <c r="I24" s="2" t="s">
        <v>21</v>
      </c>
      <c r="J24" s="2" t="s">
        <v>167</v>
      </c>
      <c r="K24" s="2"/>
      <c r="L24" s="2"/>
      <c r="M24" s="2" t="s">
        <v>168</v>
      </c>
      <c r="N24" s="2" t="s">
        <v>169</v>
      </c>
      <c r="O24" s="2" t="s">
        <v>170</v>
      </c>
    </row>
    <row r="25" spans="1:15">
      <c r="A25" s="2" t="s">
        <v>233</v>
      </c>
      <c r="B25" s="2" t="s">
        <v>234</v>
      </c>
      <c r="C25" s="2" t="s">
        <v>82</v>
      </c>
      <c r="D25" s="2" t="s">
        <v>85</v>
      </c>
      <c r="E25" s="2" t="s">
        <v>86</v>
      </c>
      <c r="F25" s="2" t="s">
        <v>235</v>
      </c>
      <c r="G25" s="2" t="s">
        <v>87</v>
      </c>
      <c r="H25" s="2" t="s">
        <v>87</v>
      </c>
      <c r="I25" s="2" t="s">
        <v>21</v>
      </c>
      <c r="J25" s="2" t="s">
        <v>167</v>
      </c>
      <c r="K25" s="2"/>
      <c r="L25" s="2"/>
      <c r="M25" s="2" t="s">
        <v>168</v>
      </c>
      <c r="N25" s="2" t="s">
        <v>169</v>
      </c>
      <c r="O25" s="2" t="s">
        <v>170</v>
      </c>
    </row>
    <row r="26" spans="1:15">
      <c r="A26" s="2" t="s">
        <v>236</v>
      </c>
      <c r="B26" s="2" t="s">
        <v>237</v>
      </c>
      <c r="C26" s="2" t="s">
        <v>82</v>
      </c>
      <c r="D26" s="2" t="s">
        <v>83</v>
      </c>
      <c r="E26" s="2" t="s">
        <v>84</v>
      </c>
      <c r="F26" s="2" t="s">
        <v>232</v>
      </c>
      <c r="G26" s="2" t="s">
        <v>21</v>
      </c>
      <c r="H26" s="2" t="s">
        <v>21</v>
      </c>
      <c r="I26" s="2" t="s">
        <v>21</v>
      </c>
      <c r="J26" s="2" t="s">
        <v>167</v>
      </c>
      <c r="K26" s="2"/>
      <c r="L26" s="2"/>
      <c r="M26" s="2" t="s">
        <v>168</v>
      </c>
      <c r="N26" s="2" t="s">
        <v>169</v>
      </c>
      <c r="O26" s="2" t="s">
        <v>170</v>
      </c>
    </row>
    <row r="27" spans="1:15">
      <c r="A27" s="2" t="s">
        <v>238</v>
      </c>
      <c r="B27" s="2" t="s">
        <v>239</v>
      </c>
      <c r="C27" s="2" t="s">
        <v>82</v>
      </c>
      <c r="D27" s="2" t="s">
        <v>90</v>
      </c>
      <c r="E27" s="2" t="s">
        <v>91</v>
      </c>
      <c r="F27" s="2" t="s">
        <v>240</v>
      </c>
      <c r="G27" s="2" t="s">
        <v>19</v>
      </c>
      <c r="H27" s="2" t="s">
        <v>19</v>
      </c>
      <c r="I27" s="2" t="s">
        <v>21</v>
      </c>
      <c r="J27" s="2" t="s">
        <v>167</v>
      </c>
      <c r="K27" s="2"/>
      <c r="L27" s="2"/>
      <c r="M27" s="2" t="s">
        <v>168</v>
      </c>
      <c r="N27" s="2" t="s">
        <v>169</v>
      </c>
      <c r="O27" s="2" t="s">
        <v>170</v>
      </c>
    </row>
    <row r="28" spans="1:15">
      <c r="A28" s="2" t="s">
        <v>241</v>
      </c>
      <c r="B28" s="2" t="s">
        <v>242</v>
      </c>
      <c r="C28" s="2" t="s">
        <v>82</v>
      </c>
      <c r="D28" s="2" t="s">
        <v>92</v>
      </c>
      <c r="E28" s="2" t="s">
        <v>93</v>
      </c>
      <c r="F28" s="2" t="s">
        <v>243</v>
      </c>
      <c r="G28" s="2" t="s">
        <v>19</v>
      </c>
      <c r="H28" s="2" t="s">
        <v>19</v>
      </c>
      <c r="I28" s="2" t="s">
        <v>21</v>
      </c>
      <c r="J28" s="2" t="s">
        <v>167</v>
      </c>
      <c r="K28" s="2"/>
      <c r="L28" s="2"/>
      <c r="M28" s="2" t="s">
        <v>168</v>
      </c>
      <c r="N28" s="2" t="s">
        <v>169</v>
      </c>
      <c r="O28" s="2" t="s">
        <v>170</v>
      </c>
    </row>
    <row r="29" spans="1:15">
      <c r="A29" s="2" t="s">
        <v>244</v>
      </c>
      <c r="B29" s="2" t="s">
        <v>245</v>
      </c>
      <c r="C29" s="2" t="s">
        <v>82</v>
      </c>
      <c r="D29" s="2" t="s">
        <v>94</v>
      </c>
      <c r="E29" s="2" t="s">
        <v>95</v>
      </c>
      <c r="F29" s="2" t="s">
        <v>246</v>
      </c>
      <c r="G29" s="2" t="s">
        <v>19</v>
      </c>
      <c r="H29" s="2" t="s">
        <v>19</v>
      </c>
      <c r="I29" s="2" t="s">
        <v>21</v>
      </c>
      <c r="J29" s="2" t="s">
        <v>167</v>
      </c>
      <c r="K29" s="2"/>
      <c r="L29" s="2"/>
      <c r="M29" s="2" t="s">
        <v>168</v>
      </c>
      <c r="N29" s="2" t="s">
        <v>169</v>
      </c>
      <c r="O29" s="2" t="s">
        <v>170</v>
      </c>
    </row>
    <row r="30" spans="1:15">
      <c r="A30" s="2" t="s">
        <v>247</v>
      </c>
      <c r="B30" s="2" t="s">
        <v>248</v>
      </c>
      <c r="C30" s="2" t="s">
        <v>82</v>
      </c>
      <c r="D30" s="2" t="s">
        <v>96</v>
      </c>
      <c r="E30" s="2" t="s">
        <v>97</v>
      </c>
      <c r="F30" s="2" t="s">
        <v>249</v>
      </c>
      <c r="G30" s="2" t="s">
        <v>98</v>
      </c>
      <c r="H30" s="2" t="s">
        <v>98</v>
      </c>
      <c r="I30" s="2" t="s">
        <v>21</v>
      </c>
      <c r="J30" s="2" t="s">
        <v>167</v>
      </c>
      <c r="K30" s="2"/>
      <c r="L30" s="2"/>
      <c r="M30" s="2" t="s">
        <v>168</v>
      </c>
      <c r="N30" s="2" t="s">
        <v>169</v>
      </c>
      <c r="O30" s="2" t="s">
        <v>170</v>
      </c>
    </row>
    <row r="31" spans="1:15">
      <c r="A31" s="2" t="s">
        <v>250</v>
      </c>
      <c r="B31" s="2" t="s">
        <v>251</v>
      </c>
      <c r="C31" s="2" t="s">
        <v>82</v>
      </c>
      <c r="D31" s="2" t="s">
        <v>99</v>
      </c>
      <c r="E31" s="2" t="s">
        <v>100</v>
      </c>
      <c r="F31" s="2" t="s">
        <v>252</v>
      </c>
      <c r="G31" s="2" t="s">
        <v>19</v>
      </c>
      <c r="H31" s="2" t="s">
        <v>19</v>
      </c>
      <c r="I31" s="2" t="s">
        <v>21</v>
      </c>
      <c r="J31" s="2" t="s">
        <v>167</v>
      </c>
      <c r="K31" s="2"/>
      <c r="L31" s="2"/>
      <c r="M31" s="2" t="s">
        <v>168</v>
      </c>
      <c r="N31" s="2" t="s">
        <v>169</v>
      </c>
      <c r="O31" s="2" t="s">
        <v>170</v>
      </c>
    </row>
    <row r="32" spans="1:15">
      <c r="A32" s="2" t="s">
        <v>253</v>
      </c>
      <c r="B32" s="2" t="s">
        <v>254</v>
      </c>
      <c r="C32" s="2" t="s">
        <v>82</v>
      </c>
      <c r="D32" s="2" t="s">
        <v>101</v>
      </c>
      <c r="E32" s="2" t="s">
        <v>102</v>
      </c>
      <c r="F32" s="2" t="s">
        <v>255</v>
      </c>
      <c r="G32" s="2" t="s">
        <v>103</v>
      </c>
      <c r="H32" s="2" t="s">
        <v>103</v>
      </c>
      <c r="I32" s="2" t="s">
        <v>105</v>
      </c>
      <c r="J32" s="2" t="s">
        <v>167</v>
      </c>
      <c r="K32" s="2"/>
      <c r="L32" s="2"/>
      <c r="M32" s="2" t="s">
        <v>168</v>
      </c>
      <c r="N32" s="2" t="s">
        <v>169</v>
      </c>
      <c r="O32" s="2" t="s">
        <v>170</v>
      </c>
    </row>
    <row r="33" spans="1:15">
      <c r="A33" s="2" t="s">
        <v>256</v>
      </c>
      <c r="B33" s="2" t="s">
        <v>257</v>
      </c>
      <c r="C33" s="2" t="s">
        <v>82</v>
      </c>
      <c r="D33" s="2" t="s">
        <v>49</v>
      </c>
      <c r="E33" s="2" t="s">
        <v>50</v>
      </c>
      <c r="F33" s="2" t="s">
        <v>192</v>
      </c>
      <c r="G33" s="2" t="s">
        <v>19</v>
      </c>
      <c r="H33" s="2" t="s">
        <v>19</v>
      </c>
      <c r="I33" s="2" t="s">
        <v>21</v>
      </c>
      <c r="J33" s="2" t="s">
        <v>167</v>
      </c>
      <c r="K33" s="2"/>
      <c r="L33" s="2"/>
      <c r="M33" s="2" t="s">
        <v>168</v>
      </c>
      <c r="N33" s="2" t="s">
        <v>169</v>
      </c>
      <c r="O33" s="2" t="s">
        <v>170</v>
      </c>
    </row>
    <row r="34" spans="1:15">
      <c r="A34" s="2" t="s">
        <v>258</v>
      </c>
      <c r="B34" s="2" t="s">
        <v>259</v>
      </c>
      <c r="C34" s="2" t="s">
        <v>82</v>
      </c>
      <c r="D34" s="2" t="s">
        <v>106</v>
      </c>
      <c r="E34" s="2" t="s">
        <v>107</v>
      </c>
      <c r="F34" s="2" t="s">
        <v>260</v>
      </c>
      <c r="G34" s="2" t="s">
        <v>19</v>
      </c>
      <c r="H34" s="2" t="s">
        <v>19</v>
      </c>
      <c r="I34" s="2" t="s">
        <v>21</v>
      </c>
      <c r="J34" s="2" t="s">
        <v>167</v>
      </c>
      <c r="K34" s="2"/>
      <c r="L34" s="2"/>
      <c r="M34" s="2" t="s">
        <v>168</v>
      </c>
      <c r="N34" s="2" t="s">
        <v>169</v>
      </c>
      <c r="O34" s="2" t="s">
        <v>170</v>
      </c>
    </row>
    <row r="35" spans="1:15">
      <c r="A35" s="2" t="s">
        <v>261</v>
      </c>
      <c r="B35" s="2" t="s">
        <v>262</v>
      </c>
      <c r="C35" s="2" t="s">
        <v>82</v>
      </c>
      <c r="D35" s="2" t="s">
        <v>51</v>
      </c>
      <c r="E35" s="2" t="s">
        <v>52</v>
      </c>
      <c r="F35" s="2" t="s">
        <v>195</v>
      </c>
      <c r="G35" s="2" t="s">
        <v>19</v>
      </c>
      <c r="H35" s="2" t="s">
        <v>19</v>
      </c>
      <c r="I35" s="2" t="s">
        <v>21</v>
      </c>
      <c r="J35" s="2" t="s">
        <v>167</v>
      </c>
      <c r="K35" s="2"/>
      <c r="L35" s="2"/>
      <c r="M35" s="2" t="s">
        <v>168</v>
      </c>
      <c r="N35" s="2" t="s">
        <v>169</v>
      </c>
      <c r="O35" s="2" t="s">
        <v>170</v>
      </c>
    </row>
    <row r="36" spans="1:15">
      <c r="A36" s="2" t="s">
        <v>263</v>
      </c>
      <c r="B36" s="2" t="s">
        <v>264</v>
      </c>
      <c r="C36" s="2" t="s">
        <v>82</v>
      </c>
      <c r="D36" s="2" t="s">
        <v>51</v>
      </c>
      <c r="E36" s="2" t="s">
        <v>52</v>
      </c>
      <c r="F36" s="2" t="s">
        <v>195</v>
      </c>
      <c r="G36" s="2" t="s">
        <v>19</v>
      </c>
      <c r="H36" s="2" t="s">
        <v>19</v>
      </c>
      <c r="I36" s="2" t="s">
        <v>21</v>
      </c>
      <c r="J36" s="2" t="s">
        <v>167</v>
      </c>
      <c r="K36" s="2"/>
      <c r="L36" s="2"/>
      <c r="M36" s="2" t="s">
        <v>168</v>
      </c>
      <c r="N36" s="2" t="s">
        <v>169</v>
      </c>
      <c r="O36" s="2" t="s">
        <v>170</v>
      </c>
    </row>
    <row r="37" spans="1:15">
      <c r="A37" s="2" t="s">
        <v>265</v>
      </c>
      <c r="B37" s="2" t="s">
        <v>266</v>
      </c>
      <c r="C37" s="2" t="s">
        <v>82</v>
      </c>
      <c r="D37" s="2" t="s">
        <v>108</v>
      </c>
      <c r="E37" s="2" t="s">
        <v>109</v>
      </c>
      <c r="F37" s="2" t="s">
        <v>267</v>
      </c>
      <c r="G37" s="2" t="s">
        <v>19</v>
      </c>
      <c r="H37" s="2" t="s">
        <v>19</v>
      </c>
      <c r="I37" s="2" t="s">
        <v>21</v>
      </c>
      <c r="J37" s="2" t="s">
        <v>167</v>
      </c>
      <c r="K37" s="2"/>
      <c r="L37" s="2"/>
      <c r="M37" s="2" t="s">
        <v>168</v>
      </c>
      <c r="N37" s="2" t="s">
        <v>169</v>
      </c>
      <c r="O37" s="2" t="s">
        <v>170</v>
      </c>
    </row>
    <row r="38" spans="1:15">
      <c r="A38" s="2" t="s">
        <v>268</v>
      </c>
      <c r="B38" s="2" t="s">
        <v>269</v>
      </c>
      <c r="C38" s="2" t="s">
        <v>82</v>
      </c>
      <c r="D38" s="2" t="s">
        <v>61</v>
      </c>
      <c r="E38" s="2" t="s">
        <v>62</v>
      </c>
      <c r="F38" s="2" t="s">
        <v>205</v>
      </c>
      <c r="G38" s="2" t="s">
        <v>63</v>
      </c>
      <c r="H38" s="2" t="s">
        <v>63</v>
      </c>
      <c r="I38" s="2" t="s">
        <v>63</v>
      </c>
      <c r="J38" s="2" t="s">
        <v>167</v>
      </c>
      <c r="K38" s="2"/>
      <c r="L38" s="2"/>
      <c r="M38" s="2" t="s">
        <v>202</v>
      </c>
      <c r="N38" s="2" t="s">
        <v>169</v>
      </c>
      <c r="O38" s="2" t="s">
        <v>170</v>
      </c>
    </row>
    <row r="39" spans="1:15">
      <c r="A39" s="2" t="s">
        <v>270</v>
      </c>
      <c r="B39" s="2" t="s">
        <v>271</v>
      </c>
      <c r="C39" s="2" t="s">
        <v>82</v>
      </c>
      <c r="D39" s="2" t="s">
        <v>110</v>
      </c>
      <c r="E39" s="2" t="s">
        <v>111</v>
      </c>
      <c r="F39" s="2" t="s">
        <v>272</v>
      </c>
      <c r="G39" s="2" t="s">
        <v>110</v>
      </c>
      <c r="H39" s="2" t="s">
        <v>110</v>
      </c>
      <c r="I39" s="2" t="s">
        <v>112</v>
      </c>
      <c r="J39" s="2" t="s">
        <v>167</v>
      </c>
      <c r="K39" s="2"/>
      <c r="L39" s="2"/>
      <c r="M39" s="2" t="s">
        <v>202</v>
      </c>
      <c r="N39" s="2" t="s">
        <v>169</v>
      </c>
      <c r="O39" s="2" t="s">
        <v>170</v>
      </c>
    </row>
    <row r="40" spans="1:15">
      <c r="A40" s="2" t="s">
        <v>273</v>
      </c>
      <c r="B40" s="2" t="s">
        <v>274</v>
      </c>
      <c r="C40" s="2" t="s">
        <v>82</v>
      </c>
      <c r="D40" s="2" t="s">
        <v>63</v>
      </c>
      <c r="E40" s="2" t="s">
        <v>62</v>
      </c>
      <c r="F40" s="2" t="s">
        <v>205</v>
      </c>
      <c r="G40" s="2" t="s">
        <v>63</v>
      </c>
      <c r="H40" s="2" t="s">
        <v>63</v>
      </c>
      <c r="I40" s="2" t="s">
        <v>63</v>
      </c>
      <c r="J40" s="2" t="s">
        <v>167</v>
      </c>
      <c r="K40" s="2"/>
      <c r="L40" s="2"/>
      <c r="M40" s="2" t="s">
        <v>202</v>
      </c>
      <c r="N40" s="2" t="s">
        <v>169</v>
      </c>
      <c r="O40" s="2" t="s">
        <v>170</v>
      </c>
    </row>
    <row r="41" spans="1:15">
      <c r="A41" s="2" t="s">
        <v>275</v>
      </c>
      <c r="B41" s="2" t="s">
        <v>276</v>
      </c>
      <c r="C41" s="2" t="s">
        <v>82</v>
      </c>
      <c r="D41" s="2" t="s">
        <v>114</v>
      </c>
      <c r="E41" s="2" t="s">
        <v>20</v>
      </c>
      <c r="F41" s="2" t="s">
        <v>277</v>
      </c>
      <c r="G41" s="2" t="s">
        <v>21</v>
      </c>
      <c r="H41" s="2" t="s">
        <v>21</v>
      </c>
      <c r="I41" s="2" t="s">
        <v>21</v>
      </c>
      <c r="J41" s="2" t="s">
        <v>167</v>
      </c>
      <c r="K41" s="2"/>
      <c r="L41" s="2"/>
      <c r="M41" s="2" t="s">
        <v>202</v>
      </c>
      <c r="N41" s="2" t="s">
        <v>169</v>
      </c>
      <c r="O41" s="2" t="s">
        <v>170</v>
      </c>
    </row>
    <row r="42" spans="1:15">
      <c r="A42" s="2" t="s">
        <v>278</v>
      </c>
      <c r="B42" s="2" t="s">
        <v>279</v>
      </c>
      <c r="C42" s="2" t="s">
        <v>117</v>
      </c>
      <c r="D42" s="2" t="s">
        <v>115</v>
      </c>
      <c r="E42" s="2" t="s">
        <v>116</v>
      </c>
      <c r="F42" s="2" t="s">
        <v>280</v>
      </c>
      <c r="G42" s="2" t="s">
        <v>19</v>
      </c>
      <c r="H42" s="2" t="s">
        <v>19</v>
      </c>
      <c r="I42" s="2" t="s">
        <v>21</v>
      </c>
      <c r="J42" s="2" t="s">
        <v>167</v>
      </c>
      <c r="K42" s="2"/>
      <c r="L42" s="2"/>
      <c r="M42" s="2" t="s">
        <v>168</v>
      </c>
      <c r="N42" s="2" t="s">
        <v>169</v>
      </c>
      <c r="O42" s="2" t="s">
        <v>170</v>
      </c>
    </row>
    <row r="43" spans="1:15">
      <c r="A43" s="2" t="s">
        <v>281</v>
      </c>
      <c r="B43" s="2" t="s">
        <v>282</v>
      </c>
      <c r="C43" s="2" t="s">
        <v>117</v>
      </c>
      <c r="D43" s="2" t="s">
        <v>118</v>
      </c>
      <c r="E43" s="2" t="s">
        <v>119</v>
      </c>
      <c r="F43" s="2" t="s">
        <v>283</v>
      </c>
      <c r="G43" s="2" t="s">
        <v>32</v>
      </c>
      <c r="H43" s="2" t="s">
        <v>32</v>
      </c>
      <c r="I43" s="2" t="s">
        <v>34</v>
      </c>
      <c r="J43" s="2" t="s">
        <v>167</v>
      </c>
      <c r="K43" s="2"/>
      <c r="L43" s="2"/>
      <c r="M43" s="2" t="s">
        <v>168</v>
      </c>
      <c r="N43" s="2" t="s">
        <v>169</v>
      </c>
      <c r="O43" s="2" t="s">
        <v>170</v>
      </c>
    </row>
    <row r="44" spans="1:15">
      <c r="A44" s="2" t="s">
        <v>284</v>
      </c>
      <c r="B44" s="2" t="s">
        <v>285</v>
      </c>
      <c r="C44" s="2" t="s">
        <v>117</v>
      </c>
      <c r="D44" s="2" t="s">
        <v>120</v>
      </c>
      <c r="E44" s="2" t="s">
        <v>121</v>
      </c>
      <c r="F44" s="2" t="s">
        <v>286</v>
      </c>
      <c r="G44" s="2" t="s">
        <v>32</v>
      </c>
      <c r="H44" s="2" t="s">
        <v>32</v>
      </c>
      <c r="I44" s="2" t="s">
        <v>34</v>
      </c>
      <c r="J44" s="2" t="s">
        <v>167</v>
      </c>
      <c r="K44" s="2"/>
      <c r="L44" s="2"/>
      <c r="M44" s="2" t="s">
        <v>168</v>
      </c>
      <c r="N44" s="2" t="s">
        <v>169</v>
      </c>
      <c r="O44" s="2" t="s">
        <v>170</v>
      </c>
    </row>
    <row r="45" spans="1:15">
      <c r="A45" s="2" t="s">
        <v>287</v>
      </c>
      <c r="B45" s="2" t="s">
        <v>288</v>
      </c>
      <c r="C45" s="2" t="s">
        <v>117</v>
      </c>
      <c r="D45" s="2" t="s">
        <v>122</v>
      </c>
      <c r="E45" s="2" t="s">
        <v>123</v>
      </c>
      <c r="F45" s="2" t="s">
        <v>289</v>
      </c>
      <c r="G45" s="2" t="s">
        <v>32</v>
      </c>
      <c r="H45" s="2" t="s">
        <v>32</v>
      </c>
      <c r="I45" s="2" t="s">
        <v>34</v>
      </c>
      <c r="J45" s="2" t="s">
        <v>167</v>
      </c>
      <c r="K45" s="2"/>
      <c r="L45" s="2"/>
      <c r="M45" s="2" t="s">
        <v>168</v>
      </c>
      <c r="N45" s="2" t="s">
        <v>169</v>
      </c>
      <c r="O45" s="2" t="s">
        <v>170</v>
      </c>
    </row>
    <row r="46" spans="1:15">
      <c r="A46" s="2" t="s">
        <v>290</v>
      </c>
      <c r="B46" s="2" t="s">
        <v>291</v>
      </c>
      <c r="C46" s="2" t="s">
        <v>117</v>
      </c>
      <c r="D46" s="2" t="s">
        <v>30</v>
      </c>
      <c r="E46" s="2" t="s">
        <v>31</v>
      </c>
      <c r="F46" s="2" t="s">
        <v>178</v>
      </c>
      <c r="G46" s="2" t="s">
        <v>40</v>
      </c>
      <c r="H46" s="2" t="s">
        <v>40</v>
      </c>
      <c r="I46" s="2" t="s">
        <v>42</v>
      </c>
      <c r="J46" s="2" t="s">
        <v>167</v>
      </c>
      <c r="K46" s="2"/>
      <c r="L46" s="2"/>
      <c r="M46" s="2" t="s">
        <v>168</v>
      </c>
      <c r="N46" s="2" t="s">
        <v>169</v>
      </c>
      <c r="O46" s="2" t="s">
        <v>170</v>
      </c>
    </row>
    <row r="47" spans="1:15">
      <c r="A47" s="2" t="s">
        <v>292</v>
      </c>
      <c r="B47" s="2" t="s">
        <v>293</v>
      </c>
      <c r="C47" s="2" t="s">
        <v>117</v>
      </c>
      <c r="D47" s="2" t="s">
        <v>125</v>
      </c>
      <c r="E47" s="2" t="s">
        <v>126</v>
      </c>
      <c r="F47" s="2" t="s">
        <v>294</v>
      </c>
      <c r="G47" s="2" t="s">
        <v>127</v>
      </c>
      <c r="H47" s="2" t="s">
        <v>127</v>
      </c>
      <c r="I47" s="2" t="s">
        <v>127</v>
      </c>
      <c r="J47" s="2" t="s">
        <v>167</v>
      </c>
      <c r="K47" s="2"/>
      <c r="L47" s="2"/>
      <c r="M47" s="2" t="s">
        <v>168</v>
      </c>
      <c r="N47" s="2" t="s">
        <v>169</v>
      </c>
      <c r="O47" s="2" t="s">
        <v>170</v>
      </c>
    </row>
    <row r="48" spans="1:15">
      <c r="A48" s="2" t="s">
        <v>295</v>
      </c>
      <c r="B48" s="2" t="s">
        <v>296</v>
      </c>
      <c r="C48" s="2" t="s">
        <v>117</v>
      </c>
      <c r="D48" s="2" t="s">
        <v>129</v>
      </c>
      <c r="E48" s="2" t="s">
        <v>130</v>
      </c>
      <c r="F48" s="2" t="s">
        <v>297</v>
      </c>
      <c r="G48" s="2" t="s">
        <v>40</v>
      </c>
      <c r="H48" s="2" t="s">
        <v>40</v>
      </c>
      <c r="I48" s="2" t="s">
        <v>42</v>
      </c>
      <c r="J48" s="2" t="s">
        <v>167</v>
      </c>
      <c r="K48" s="2"/>
      <c r="L48" s="2"/>
      <c r="M48" s="2" t="s">
        <v>168</v>
      </c>
      <c r="N48" s="2" t="s">
        <v>169</v>
      </c>
      <c r="O48" s="2" t="s">
        <v>170</v>
      </c>
    </row>
    <row r="49" spans="1:15">
      <c r="A49" s="2" t="s">
        <v>298</v>
      </c>
      <c r="B49" s="2" t="s">
        <v>299</v>
      </c>
      <c r="C49" s="2" t="s">
        <v>117</v>
      </c>
      <c r="D49" s="2" t="s">
        <v>131</v>
      </c>
      <c r="E49" s="2" t="s">
        <v>38</v>
      </c>
      <c r="F49" s="2" t="s">
        <v>300</v>
      </c>
      <c r="G49" s="2" t="s">
        <v>40</v>
      </c>
      <c r="H49" s="2" t="s">
        <v>40</v>
      </c>
      <c r="I49" s="2" t="s">
        <v>42</v>
      </c>
      <c r="J49" s="2" t="s">
        <v>167</v>
      </c>
      <c r="K49" s="2"/>
      <c r="L49" s="2"/>
      <c r="M49" s="2" t="s">
        <v>168</v>
      </c>
      <c r="N49" s="2" t="s">
        <v>169</v>
      </c>
      <c r="O49" s="2" t="s">
        <v>170</v>
      </c>
    </row>
    <row r="50" spans="1:15">
      <c r="A50" s="2" t="s">
        <v>301</v>
      </c>
      <c r="B50" s="2" t="s">
        <v>302</v>
      </c>
      <c r="C50" s="2" t="s">
        <v>117</v>
      </c>
      <c r="D50" s="2" t="s">
        <v>132</v>
      </c>
      <c r="E50" s="2" t="s">
        <v>133</v>
      </c>
      <c r="F50" s="2" t="s">
        <v>303</v>
      </c>
      <c r="G50" s="2" t="s">
        <v>40</v>
      </c>
      <c r="H50" s="2" t="s">
        <v>40</v>
      </c>
      <c r="I50" s="2" t="s">
        <v>42</v>
      </c>
      <c r="J50" s="2" t="s">
        <v>167</v>
      </c>
      <c r="K50" s="2"/>
      <c r="L50" s="2"/>
      <c r="M50" s="2" t="s">
        <v>168</v>
      </c>
      <c r="N50" s="2" t="s">
        <v>169</v>
      </c>
      <c r="O50" s="2" t="s">
        <v>170</v>
      </c>
    </row>
    <row r="51" spans="1:15">
      <c r="A51" s="2" t="s">
        <v>304</v>
      </c>
      <c r="B51" s="2" t="s">
        <v>305</v>
      </c>
      <c r="C51" s="2" t="s">
        <v>117</v>
      </c>
      <c r="D51" s="2" t="s">
        <v>134</v>
      </c>
      <c r="E51" s="2" t="s">
        <v>135</v>
      </c>
      <c r="F51" s="2" t="s">
        <v>306</v>
      </c>
      <c r="G51" s="2" t="s">
        <v>105</v>
      </c>
      <c r="H51" s="2" t="s">
        <v>105</v>
      </c>
      <c r="I51" s="2" t="s">
        <v>105</v>
      </c>
      <c r="J51" s="2" t="s">
        <v>167</v>
      </c>
      <c r="K51" s="2"/>
      <c r="L51" s="2"/>
      <c r="M51" s="2" t="s">
        <v>168</v>
      </c>
      <c r="N51" s="2" t="s">
        <v>169</v>
      </c>
      <c r="O51" s="2" t="s">
        <v>170</v>
      </c>
    </row>
    <row r="52" spans="1:15">
      <c r="A52" s="2" t="s">
        <v>307</v>
      </c>
      <c r="B52" s="2" t="s">
        <v>308</v>
      </c>
      <c r="C52" s="2" t="s">
        <v>117</v>
      </c>
      <c r="D52" s="2" t="s">
        <v>136</v>
      </c>
      <c r="E52" s="2" t="s">
        <v>137</v>
      </c>
      <c r="F52" s="2" t="s">
        <v>309</v>
      </c>
      <c r="G52" s="2" t="s">
        <v>21</v>
      </c>
      <c r="H52" s="2" t="s">
        <v>21</v>
      </c>
      <c r="I52" s="2" t="s">
        <v>21</v>
      </c>
      <c r="J52" s="2" t="s">
        <v>167</v>
      </c>
      <c r="K52" s="2"/>
      <c r="L52" s="2"/>
      <c r="M52" s="2" t="s">
        <v>168</v>
      </c>
      <c r="N52" s="2" t="s">
        <v>169</v>
      </c>
      <c r="O52" s="2" t="s">
        <v>170</v>
      </c>
    </row>
    <row r="53" spans="1:15">
      <c r="A53" s="2" t="s">
        <v>310</v>
      </c>
      <c r="B53" s="2" t="s">
        <v>311</v>
      </c>
      <c r="C53" s="2" t="s">
        <v>117</v>
      </c>
      <c r="D53" s="2" t="s">
        <v>136</v>
      </c>
      <c r="E53" s="2" t="s">
        <v>137</v>
      </c>
      <c r="F53" s="2" t="s">
        <v>309</v>
      </c>
      <c r="G53" s="2" t="s">
        <v>21</v>
      </c>
      <c r="H53" s="2" t="s">
        <v>21</v>
      </c>
      <c r="I53" s="2" t="s">
        <v>21</v>
      </c>
      <c r="J53" s="2" t="s">
        <v>167</v>
      </c>
      <c r="K53" s="2"/>
      <c r="L53" s="2"/>
      <c r="M53" s="2" t="s">
        <v>168</v>
      </c>
      <c r="N53" s="2" t="s">
        <v>169</v>
      </c>
      <c r="O53" s="2" t="s">
        <v>170</v>
      </c>
    </row>
    <row r="54" spans="1:15">
      <c r="A54" s="2" t="s">
        <v>312</v>
      </c>
      <c r="B54" s="2" t="s">
        <v>313</v>
      </c>
      <c r="C54" s="2" t="s">
        <v>117</v>
      </c>
      <c r="D54" s="2" t="s">
        <v>35</v>
      </c>
      <c r="E54" s="2" t="s">
        <v>36</v>
      </c>
      <c r="F54" s="2" t="s">
        <v>181</v>
      </c>
      <c r="G54" s="2" t="s">
        <v>40</v>
      </c>
      <c r="H54" s="2" t="s">
        <v>40</v>
      </c>
      <c r="I54" s="2" t="s">
        <v>42</v>
      </c>
      <c r="J54" s="2" t="s">
        <v>167</v>
      </c>
      <c r="K54" s="2"/>
      <c r="L54" s="2"/>
      <c r="M54" s="2" t="s">
        <v>168</v>
      </c>
      <c r="N54" s="2" t="s">
        <v>169</v>
      </c>
      <c r="O54" s="2" t="s">
        <v>170</v>
      </c>
    </row>
    <row r="55" spans="1:15">
      <c r="A55" s="2" t="s">
        <v>314</v>
      </c>
      <c r="B55" s="2" t="s">
        <v>315</v>
      </c>
      <c r="C55" s="2" t="s">
        <v>117</v>
      </c>
      <c r="D55" s="2" t="s">
        <v>138</v>
      </c>
      <c r="E55" s="2" t="s">
        <v>36</v>
      </c>
      <c r="F55" s="2" t="s">
        <v>316</v>
      </c>
      <c r="G55" s="2" t="s">
        <v>40</v>
      </c>
      <c r="H55" s="2" t="s">
        <v>40</v>
      </c>
      <c r="I55" s="2" t="s">
        <v>42</v>
      </c>
      <c r="J55" s="2" t="s">
        <v>167</v>
      </c>
      <c r="K55" s="2"/>
      <c r="L55" s="2"/>
      <c r="M55" s="2" t="s">
        <v>168</v>
      </c>
      <c r="N55" s="2" t="s">
        <v>169</v>
      </c>
      <c r="O55" s="2" t="s">
        <v>170</v>
      </c>
    </row>
    <row r="56" spans="1:15">
      <c r="A56" s="2" t="s">
        <v>317</v>
      </c>
      <c r="B56" s="2" t="s">
        <v>318</v>
      </c>
      <c r="C56" s="2" t="s">
        <v>117</v>
      </c>
      <c r="D56" s="2" t="s">
        <v>32</v>
      </c>
      <c r="E56" s="2" t="s">
        <v>33</v>
      </c>
      <c r="F56" s="2" t="s">
        <v>319</v>
      </c>
      <c r="G56" s="2" t="s">
        <v>32</v>
      </c>
      <c r="H56" s="2" t="s">
        <v>32</v>
      </c>
      <c r="I56" s="2" t="s">
        <v>34</v>
      </c>
      <c r="J56" s="2" t="s">
        <v>167</v>
      </c>
      <c r="K56" s="2"/>
      <c r="L56" s="2"/>
      <c r="M56" s="2" t="s">
        <v>202</v>
      </c>
      <c r="N56" s="2" t="s">
        <v>169</v>
      </c>
      <c r="O56" s="2" t="s">
        <v>170</v>
      </c>
    </row>
    <row r="57" spans="1:15">
      <c r="A57" s="2" t="s">
        <v>320</v>
      </c>
      <c r="B57" s="2" t="s">
        <v>321</v>
      </c>
      <c r="C57" s="2" t="s">
        <v>117</v>
      </c>
      <c r="D57" s="2" t="s">
        <v>139</v>
      </c>
      <c r="E57" s="2" t="s">
        <v>140</v>
      </c>
      <c r="F57" s="2" t="s">
        <v>322</v>
      </c>
      <c r="G57" s="2" t="s">
        <v>19</v>
      </c>
      <c r="H57" s="2" t="s">
        <v>19</v>
      </c>
      <c r="I57" s="2" t="s">
        <v>21</v>
      </c>
      <c r="J57" s="2" t="s">
        <v>167</v>
      </c>
      <c r="K57" s="2"/>
      <c r="L57" s="2"/>
      <c r="M57" s="2" t="s">
        <v>168</v>
      </c>
      <c r="N57" s="2" t="s">
        <v>169</v>
      </c>
      <c r="O57" s="2" t="s">
        <v>170</v>
      </c>
    </row>
    <row r="58" spans="1:15">
      <c r="A58" s="2" t="s">
        <v>323</v>
      </c>
      <c r="B58" s="2" t="s">
        <v>324</v>
      </c>
      <c r="C58" s="2" t="s">
        <v>117</v>
      </c>
      <c r="D58" s="2" t="s">
        <v>141</v>
      </c>
      <c r="E58" s="2" t="s">
        <v>142</v>
      </c>
      <c r="F58" s="2" t="s">
        <v>325</v>
      </c>
      <c r="G58" s="2" t="s">
        <v>143</v>
      </c>
      <c r="H58" s="2" t="s">
        <v>143</v>
      </c>
      <c r="I58" s="2" t="s">
        <v>57</v>
      </c>
      <c r="J58" s="2" t="s">
        <v>167</v>
      </c>
      <c r="K58" s="2"/>
      <c r="L58" s="2"/>
      <c r="M58" s="2" t="s">
        <v>168</v>
      </c>
      <c r="N58" s="2" t="s">
        <v>169</v>
      </c>
      <c r="O58" s="2" t="s">
        <v>170</v>
      </c>
    </row>
    <row r="59" spans="1:15">
      <c r="A59" s="2" t="s">
        <v>326</v>
      </c>
      <c r="B59" s="2" t="s">
        <v>327</v>
      </c>
      <c r="C59" s="2" t="s">
        <v>117</v>
      </c>
      <c r="D59" s="2" t="s">
        <v>144</v>
      </c>
      <c r="E59" s="2" t="s">
        <v>145</v>
      </c>
      <c r="F59" s="2" t="s">
        <v>328</v>
      </c>
      <c r="G59" s="2" t="s">
        <v>68</v>
      </c>
      <c r="H59" s="2" t="s">
        <v>68</v>
      </c>
      <c r="I59" s="2" t="s">
        <v>21</v>
      </c>
      <c r="J59" s="2" t="s">
        <v>167</v>
      </c>
      <c r="K59" s="2"/>
      <c r="L59" s="2"/>
      <c r="M59" s="2" t="s">
        <v>168</v>
      </c>
      <c r="N59" s="2" t="s">
        <v>169</v>
      </c>
      <c r="O59" s="2" t="s">
        <v>170</v>
      </c>
    </row>
    <row r="60" spans="1:15">
      <c r="A60" s="2" t="s">
        <v>329</v>
      </c>
      <c r="B60" s="2" t="s">
        <v>330</v>
      </c>
      <c r="C60" s="2" t="s">
        <v>117</v>
      </c>
      <c r="D60" s="2" t="s">
        <v>146</v>
      </c>
      <c r="E60" s="2" t="s">
        <v>147</v>
      </c>
      <c r="F60" s="2" t="s">
        <v>331</v>
      </c>
      <c r="G60" s="2" t="s">
        <v>148</v>
      </c>
      <c r="H60" s="2" t="s">
        <v>148</v>
      </c>
      <c r="I60" s="2" t="s">
        <v>63</v>
      </c>
      <c r="J60" s="2" t="s">
        <v>167</v>
      </c>
      <c r="K60" s="2"/>
      <c r="L60" s="2"/>
      <c r="M60" s="2" t="s">
        <v>168</v>
      </c>
      <c r="N60" s="2" t="s">
        <v>169</v>
      </c>
      <c r="O60" s="2" t="s">
        <v>170</v>
      </c>
    </row>
    <row r="61" spans="1:15">
      <c r="A61" s="2" t="s">
        <v>332</v>
      </c>
      <c r="B61" s="2" t="s">
        <v>333</v>
      </c>
      <c r="C61" s="2" t="s">
        <v>117</v>
      </c>
      <c r="D61" s="2" t="s">
        <v>71</v>
      </c>
      <c r="E61" s="2" t="s">
        <v>72</v>
      </c>
      <c r="F61" s="2" t="s">
        <v>334</v>
      </c>
      <c r="G61" s="2" t="s">
        <v>71</v>
      </c>
      <c r="H61" s="2" t="s">
        <v>71</v>
      </c>
      <c r="I61" s="2" t="s">
        <v>57</v>
      </c>
      <c r="J61" s="2" t="s">
        <v>167</v>
      </c>
      <c r="K61" s="2"/>
      <c r="L61" s="2"/>
      <c r="M61" s="2" t="s">
        <v>202</v>
      </c>
      <c r="N61" s="2" t="s">
        <v>169</v>
      </c>
      <c r="O61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zoomScaleSheetLayoutView="100" workbookViewId="0"/>
  </sheetViews>
  <sheetFormatPr defaultRowHeight="15"/>
  <cols>
    <col min="1" max="1" width="16" customWidth="1"/>
    <col min="2" max="2" width="24" customWidth="1"/>
    <col min="3" max="3" width="46" customWidth="1"/>
    <col min="4" max="4" width="34" customWidth="1"/>
  </cols>
  <sheetData>
    <row r="1" spans="1:4">
      <c r="A1" s="13" t="s">
        <v>335</v>
      </c>
      <c r="B1" s="13"/>
      <c r="C1" s="13"/>
      <c r="D1" s="13"/>
    </row>
    <row r="3" spans="1:4">
      <c r="A3" s="14" t="s">
        <v>336</v>
      </c>
      <c r="B3" s="14" t="s">
        <v>337</v>
      </c>
      <c r="C3" s="14" t="s">
        <v>338</v>
      </c>
      <c r="D3" s="14" t="s">
        <v>339</v>
      </c>
    </row>
    <row r="4" spans="1:4" ht="38.1" customHeight="1">
      <c r="A4" s="2" t="s">
        <v>2</v>
      </c>
      <c r="B4" s="2" t="s">
        <v>340</v>
      </c>
      <c r="C4" s="2" t="s">
        <v>341</v>
      </c>
      <c r="D4" s="2" t="s">
        <v>342</v>
      </c>
    </row>
    <row r="5" spans="1:4" ht="38.1" customHeight="1">
      <c r="A5" s="2" t="s">
        <v>3</v>
      </c>
      <c r="B5" s="2" t="s">
        <v>343</v>
      </c>
      <c r="C5" s="2" t="s">
        <v>344</v>
      </c>
      <c r="D5" s="2" t="s">
        <v>345</v>
      </c>
    </row>
    <row r="6" spans="1:4" ht="38.1" customHeight="1">
      <c r="A6" s="2" t="s">
        <v>4</v>
      </c>
      <c r="B6" s="2" t="s">
        <v>346</v>
      </c>
      <c r="C6" s="2" t="s">
        <v>347</v>
      </c>
      <c r="D6" s="2" t="s">
        <v>348</v>
      </c>
    </row>
    <row r="8" spans="1:4">
      <c r="A8" s="15" t="s">
        <v>349</v>
      </c>
      <c r="B8" s="15"/>
      <c r="C8" s="15"/>
      <c r="D8" s="15"/>
    </row>
    <row r="9" spans="1:4">
      <c r="A9" s="2" t="s">
        <v>164</v>
      </c>
      <c r="B9" s="2" t="s">
        <v>350</v>
      </c>
    </row>
    <row r="10" spans="1:4">
      <c r="A10" s="2" t="s">
        <v>171</v>
      </c>
      <c r="B10" s="2" t="s">
        <v>351</v>
      </c>
    </row>
    <row r="11" spans="1:4">
      <c r="A11" s="2" t="s">
        <v>174</v>
      </c>
      <c r="B11" s="2" t="s">
        <v>352</v>
      </c>
    </row>
    <row r="12" spans="1:4">
      <c r="A12" s="2" t="s">
        <v>176</v>
      </c>
      <c r="B12" s="2" t="s">
        <v>353</v>
      </c>
    </row>
    <row r="13" spans="1:4">
      <c r="A13" s="2" t="s">
        <v>179</v>
      </c>
      <c r="B13" s="2" t="s">
        <v>354</v>
      </c>
    </row>
    <row r="15" spans="1:4" ht="42" customHeight="1">
      <c r="A15" s="11" t="s">
        <v>355</v>
      </c>
      <c r="B15" s="11"/>
      <c r="C15" s="11"/>
      <c r="D15" s="11"/>
    </row>
  </sheetData>
  <mergeCells count="3">
    <mergeCell ref="A1:D1"/>
    <mergeCell ref="A8:D8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"/>
  <sheetViews>
    <sheetView zoomScaleNormal="100" zoomScaleSheetLayoutView="100" workbookViewId="0"/>
  </sheetViews>
  <sheetFormatPr defaultRowHeight="15"/>
  <cols>
    <col min="1" max="1" width="7" customWidth="1"/>
    <col min="2" max="2" width="34" customWidth="1"/>
    <col min="3" max="3" width="16" customWidth="1"/>
    <col min="4" max="4" width="18" customWidth="1"/>
    <col min="5" max="5" width="16" customWidth="1"/>
    <col min="6" max="7" width="18" customWidth="1"/>
    <col min="8" max="8" width="50" customWidth="1"/>
    <col min="9" max="9" width="18" customWidth="1"/>
    <col min="10" max="10" width="30" customWidth="1"/>
    <col min="11" max="11" width="10" customWidth="1"/>
  </cols>
  <sheetData>
    <row r="1" spans="1:11">
      <c r="A1" s="13" t="s">
        <v>356</v>
      </c>
      <c r="B1" s="13"/>
      <c r="C1" s="13"/>
      <c r="D1" s="13"/>
      <c r="E1" s="13"/>
      <c r="F1" s="13"/>
      <c r="G1" s="13"/>
      <c r="H1" s="13"/>
      <c r="J1" s="16" t="s">
        <v>357</v>
      </c>
      <c r="K1" s="16" t="s">
        <v>358</v>
      </c>
    </row>
    <row r="2" spans="1:11" ht="33.950000000000003" customHeight="1">
      <c r="A2" s="17" t="s">
        <v>359</v>
      </c>
      <c r="B2" s="17"/>
      <c r="C2" s="17"/>
      <c r="D2" s="17"/>
      <c r="E2" s="17"/>
      <c r="F2" s="17"/>
      <c r="G2" s="17"/>
      <c r="H2" s="17"/>
      <c r="I2" s="17"/>
      <c r="J2" s="18" t="s">
        <v>2</v>
      </c>
      <c r="K2" s="19">
        <v>50</v>
      </c>
    </row>
    <row r="3" spans="1:11">
      <c r="J3" s="19" t="s">
        <v>3</v>
      </c>
      <c r="K3" s="19">
        <v>7</v>
      </c>
    </row>
    <row r="4" spans="1:11">
      <c r="A4" s="20" t="s">
        <v>7</v>
      </c>
      <c r="B4" s="20" t="s">
        <v>9</v>
      </c>
      <c r="C4" s="20" t="s">
        <v>10</v>
      </c>
      <c r="D4" s="20" t="s">
        <v>360</v>
      </c>
      <c r="E4" s="20" t="s">
        <v>12</v>
      </c>
      <c r="F4" s="20" t="s">
        <v>361</v>
      </c>
      <c r="G4" s="20" t="s">
        <v>362</v>
      </c>
      <c r="H4" s="20" t="s">
        <v>363</v>
      </c>
      <c r="I4" s="20" t="s">
        <v>364</v>
      </c>
      <c r="J4" s="20" t="s">
        <v>365</v>
      </c>
      <c r="K4" s="19">
        <v>3</v>
      </c>
    </row>
    <row r="5" spans="1:11" ht="48" customHeight="1">
      <c r="A5" s="4">
        <v>1</v>
      </c>
      <c r="B5" s="3" t="s">
        <v>18</v>
      </c>
      <c r="C5" s="4" t="s">
        <v>19</v>
      </c>
      <c r="D5" s="4" t="s">
        <v>20</v>
      </c>
      <c r="E5" s="4" t="s">
        <v>21</v>
      </c>
      <c r="F5" s="4" t="s">
        <v>20</v>
      </c>
      <c r="G5" s="4" t="s">
        <v>2</v>
      </c>
      <c r="H5" s="3" t="s">
        <v>366</v>
      </c>
      <c r="I5" s="3"/>
      <c r="J5" s="4"/>
      <c r="K5" s="19">
        <v>60</v>
      </c>
    </row>
    <row r="6" spans="1:11" ht="48" customHeight="1">
      <c r="A6" s="4">
        <v>2</v>
      </c>
      <c r="B6" s="3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</v>
      </c>
      <c r="H6" s="3" t="s">
        <v>367</v>
      </c>
      <c r="I6" s="3"/>
      <c r="J6" s="3"/>
    </row>
    <row r="7" spans="1:11" ht="48" customHeight="1">
      <c r="A7" s="4">
        <v>3</v>
      </c>
      <c r="B7" s="3" t="s">
        <v>18</v>
      </c>
      <c r="C7" s="4" t="s">
        <v>19</v>
      </c>
      <c r="D7" s="4" t="s">
        <v>20</v>
      </c>
      <c r="E7" s="4" t="s">
        <v>21</v>
      </c>
      <c r="F7" s="4" t="s">
        <v>20</v>
      </c>
      <c r="G7" s="4" t="s">
        <v>2</v>
      </c>
      <c r="H7" s="3" t="s">
        <v>368</v>
      </c>
      <c r="I7" s="3"/>
      <c r="J7" s="3"/>
    </row>
    <row r="8" spans="1:11" ht="48" customHeight="1">
      <c r="A8" s="4">
        <v>4</v>
      </c>
      <c r="B8" s="3" t="s">
        <v>31</v>
      </c>
      <c r="C8" s="4" t="s">
        <v>32</v>
      </c>
      <c r="D8" s="4" t="s">
        <v>33</v>
      </c>
      <c r="E8" s="4" t="s">
        <v>34</v>
      </c>
      <c r="F8" s="4" t="s">
        <v>33</v>
      </c>
      <c r="G8" s="4" t="s">
        <v>2</v>
      </c>
      <c r="H8" s="3" t="s">
        <v>369</v>
      </c>
      <c r="I8" s="3"/>
      <c r="J8" s="3"/>
    </row>
    <row r="9" spans="1:11" ht="48" customHeight="1">
      <c r="A9" s="4">
        <v>5</v>
      </c>
      <c r="B9" s="3" t="s">
        <v>36</v>
      </c>
      <c r="C9" s="4" t="s">
        <v>34</v>
      </c>
      <c r="D9" s="4" t="s">
        <v>33</v>
      </c>
      <c r="E9" s="4" t="s">
        <v>34</v>
      </c>
      <c r="F9" s="4" t="s">
        <v>33</v>
      </c>
      <c r="G9" s="4" t="s">
        <v>2</v>
      </c>
      <c r="H9" s="3" t="s">
        <v>370</v>
      </c>
      <c r="I9" s="3"/>
      <c r="J9" s="3"/>
    </row>
    <row r="10" spans="1:11" ht="48" customHeight="1">
      <c r="A10" s="4">
        <v>6</v>
      </c>
      <c r="B10" s="3" t="s">
        <v>38</v>
      </c>
      <c r="C10" s="4" t="s">
        <v>39</v>
      </c>
      <c r="D10" s="4" t="s">
        <v>33</v>
      </c>
      <c r="E10" s="4" t="s">
        <v>34</v>
      </c>
      <c r="F10" s="4" t="s">
        <v>33</v>
      </c>
      <c r="G10" s="4" t="s">
        <v>2</v>
      </c>
      <c r="H10" s="3" t="s">
        <v>371</v>
      </c>
      <c r="I10" s="3"/>
      <c r="J10" s="3"/>
    </row>
    <row r="11" spans="1:11" ht="48" customHeight="1">
      <c r="A11" s="21">
        <v>7</v>
      </c>
      <c r="B11" s="22" t="s">
        <v>38</v>
      </c>
      <c r="C11" s="21" t="s">
        <v>40</v>
      </c>
      <c r="D11" s="21" t="s">
        <v>41</v>
      </c>
      <c r="E11" s="21" t="s">
        <v>42</v>
      </c>
      <c r="F11" s="21" t="s">
        <v>43</v>
      </c>
      <c r="G11" s="21" t="s">
        <v>3</v>
      </c>
      <c r="H11" s="22" t="s">
        <v>372</v>
      </c>
      <c r="I11" s="3"/>
      <c r="J11" s="3"/>
    </row>
    <row r="12" spans="1:11" ht="48" customHeight="1">
      <c r="A12" s="4">
        <v>8</v>
      </c>
      <c r="B12" s="3" t="s">
        <v>45</v>
      </c>
      <c r="C12" s="4" t="s">
        <v>46</v>
      </c>
      <c r="D12" s="4" t="s">
        <v>47</v>
      </c>
      <c r="E12" s="4" t="s">
        <v>48</v>
      </c>
      <c r="F12" s="4" t="s">
        <v>47</v>
      </c>
      <c r="G12" s="4" t="s">
        <v>2</v>
      </c>
      <c r="H12" s="3" t="s">
        <v>373</v>
      </c>
      <c r="I12" s="3"/>
      <c r="J12" s="3"/>
    </row>
    <row r="13" spans="1:11" ht="48" customHeight="1">
      <c r="A13" s="4">
        <v>9</v>
      </c>
      <c r="B13" s="3" t="s">
        <v>50</v>
      </c>
      <c r="C13" s="4" t="s">
        <v>19</v>
      </c>
      <c r="D13" s="4" t="s">
        <v>20</v>
      </c>
      <c r="E13" s="4" t="s">
        <v>21</v>
      </c>
      <c r="F13" s="4" t="s">
        <v>20</v>
      </c>
      <c r="G13" s="4" t="s">
        <v>2</v>
      </c>
      <c r="H13" s="3" t="s">
        <v>374</v>
      </c>
      <c r="I13" s="3"/>
      <c r="J13" s="3"/>
    </row>
    <row r="14" spans="1:11" ht="48" customHeight="1">
      <c r="A14" s="4">
        <v>10</v>
      </c>
      <c r="B14" s="3" t="s">
        <v>52</v>
      </c>
      <c r="C14" s="4" t="s">
        <v>19</v>
      </c>
      <c r="D14" s="4" t="s">
        <v>20</v>
      </c>
      <c r="E14" s="4" t="s">
        <v>21</v>
      </c>
      <c r="F14" s="4" t="s">
        <v>20</v>
      </c>
      <c r="G14" s="4" t="s">
        <v>2</v>
      </c>
      <c r="H14" s="3" t="s">
        <v>375</v>
      </c>
      <c r="I14" s="3"/>
      <c r="J14" s="3"/>
    </row>
    <row r="15" spans="1:11" ht="48" customHeight="1">
      <c r="A15" s="4">
        <v>11</v>
      </c>
      <c r="B15" s="3" t="s">
        <v>54</v>
      </c>
      <c r="C15" s="4" t="s">
        <v>55</v>
      </c>
      <c r="D15" s="4" t="s">
        <v>56</v>
      </c>
      <c r="E15" s="4" t="s">
        <v>57</v>
      </c>
      <c r="F15" s="4" t="s">
        <v>56</v>
      </c>
      <c r="G15" s="4" t="s">
        <v>2</v>
      </c>
      <c r="H15" s="3" t="s">
        <v>376</v>
      </c>
      <c r="I15" s="3"/>
      <c r="J15" s="3"/>
    </row>
    <row r="16" spans="1:11" ht="48" customHeight="1">
      <c r="A16" s="4">
        <v>12</v>
      </c>
      <c r="B16" s="3" t="s">
        <v>59</v>
      </c>
      <c r="C16" s="4" t="s">
        <v>60</v>
      </c>
      <c r="D16" s="4" t="s">
        <v>59</v>
      </c>
      <c r="E16" s="4" t="s">
        <v>60</v>
      </c>
      <c r="F16" s="4" t="s">
        <v>59</v>
      </c>
      <c r="G16" s="4" t="s">
        <v>2</v>
      </c>
      <c r="H16" s="3" t="s">
        <v>377</v>
      </c>
      <c r="I16" s="3"/>
      <c r="J16" s="3"/>
    </row>
    <row r="17" spans="1:10" ht="48" customHeight="1">
      <c r="A17" s="4">
        <v>13</v>
      </c>
      <c r="B17" s="3" t="s">
        <v>62</v>
      </c>
      <c r="C17" s="4" t="s">
        <v>63</v>
      </c>
      <c r="D17" s="4" t="s">
        <v>62</v>
      </c>
      <c r="E17" s="4" t="s">
        <v>63</v>
      </c>
      <c r="F17" s="4" t="s">
        <v>62</v>
      </c>
      <c r="G17" s="4" t="s">
        <v>2</v>
      </c>
      <c r="H17" s="3" t="s">
        <v>378</v>
      </c>
      <c r="I17" s="3"/>
      <c r="J17" s="3"/>
    </row>
    <row r="18" spans="1:10" ht="48" customHeight="1">
      <c r="A18" s="4">
        <v>14</v>
      </c>
      <c r="B18" s="3" t="s">
        <v>65</v>
      </c>
      <c r="C18" s="4" t="s">
        <v>21</v>
      </c>
      <c r="D18" s="4" t="s">
        <v>20</v>
      </c>
      <c r="E18" s="4" t="s">
        <v>21</v>
      </c>
      <c r="F18" s="4" t="s">
        <v>20</v>
      </c>
      <c r="G18" s="4" t="s">
        <v>2</v>
      </c>
      <c r="H18" s="3" t="s">
        <v>379</v>
      </c>
      <c r="I18" s="3"/>
      <c r="J18" s="3"/>
    </row>
    <row r="19" spans="1:10" ht="48" customHeight="1">
      <c r="A19" s="4">
        <v>15</v>
      </c>
      <c r="B19" s="3" t="s">
        <v>67</v>
      </c>
      <c r="C19" s="4" t="s">
        <v>68</v>
      </c>
      <c r="D19" s="4" t="s">
        <v>20</v>
      </c>
      <c r="E19" s="4" t="s">
        <v>21</v>
      </c>
      <c r="F19" s="4" t="s">
        <v>20</v>
      </c>
      <c r="G19" s="4" t="s">
        <v>2</v>
      </c>
      <c r="H19" s="3" t="s">
        <v>380</v>
      </c>
      <c r="I19" s="3"/>
      <c r="J19" s="3"/>
    </row>
    <row r="20" spans="1:10" ht="48" customHeight="1">
      <c r="A20" s="4">
        <v>16</v>
      </c>
      <c r="B20" s="3" t="s">
        <v>65</v>
      </c>
      <c r="C20" s="4" t="s">
        <v>21</v>
      </c>
      <c r="D20" s="4" t="s">
        <v>20</v>
      </c>
      <c r="E20" s="4" t="s">
        <v>21</v>
      </c>
      <c r="F20" s="4" t="s">
        <v>20</v>
      </c>
      <c r="G20" s="4" t="s">
        <v>2</v>
      </c>
      <c r="H20" s="3" t="s">
        <v>379</v>
      </c>
      <c r="I20" s="3"/>
      <c r="J20" s="3"/>
    </row>
    <row r="21" spans="1:10" ht="48" customHeight="1">
      <c r="A21" s="4">
        <v>17</v>
      </c>
      <c r="B21" s="3" t="s">
        <v>70</v>
      </c>
      <c r="C21" s="4" t="s">
        <v>71</v>
      </c>
      <c r="D21" s="4" t="s">
        <v>72</v>
      </c>
      <c r="E21" s="4" t="s">
        <v>57</v>
      </c>
      <c r="F21" s="4" t="s">
        <v>56</v>
      </c>
      <c r="G21" s="4" t="s">
        <v>2</v>
      </c>
      <c r="H21" s="3" t="s">
        <v>381</v>
      </c>
      <c r="I21" s="3"/>
      <c r="J21" s="3"/>
    </row>
    <row r="22" spans="1:10" ht="48" customHeight="1">
      <c r="A22" s="4">
        <v>18</v>
      </c>
      <c r="B22" s="3" t="s">
        <v>74</v>
      </c>
      <c r="C22" s="4" t="s">
        <v>21</v>
      </c>
      <c r="D22" s="4" t="s">
        <v>20</v>
      </c>
      <c r="E22" s="4" t="s">
        <v>21</v>
      </c>
      <c r="F22" s="4" t="s">
        <v>20</v>
      </c>
      <c r="G22" s="4" t="s">
        <v>2</v>
      </c>
      <c r="H22" s="3" t="s">
        <v>382</v>
      </c>
      <c r="I22" s="3"/>
      <c r="J22" s="3"/>
    </row>
    <row r="23" spans="1:10" ht="48" customHeight="1">
      <c r="A23" s="4">
        <v>19</v>
      </c>
      <c r="B23" s="3" t="s">
        <v>65</v>
      </c>
      <c r="C23" s="4" t="s">
        <v>21</v>
      </c>
      <c r="D23" s="4" t="s">
        <v>20</v>
      </c>
      <c r="E23" s="4" t="s">
        <v>21</v>
      </c>
      <c r="F23" s="4" t="s">
        <v>20</v>
      </c>
      <c r="G23" s="4" t="s">
        <v>2</v>
      </c>
      <c r="H23" s="3" t="s">
        <v>379</v>
      </c>
      <c r="I23" s="3"/>
      <c r="J23" s="3"/>
    </row>
    <row r="24" spans="1:10" ht="48" customHeight="1">
      <c r="A24" s="4">
        <v>20</v>
      </c>
      <c r="B24" s="3" t="s">
        <v>76</v>
      </c>
      <c r="C24" s="4" t="s">
        <v>21</v>
      </c>
      <c r="D24" s="4" t="s">
        <v>20</v>
      </c>
      <c r="E24" s="4" t="s">
        <v>21</v>
      </c>
      <c r="F24" s="4" t="s">
        <v>20</v>
      </c>
      <c r="G24" s="4" t="s">
        <v>2</v>
      </c>
      <c r="H24" s="3" t="s">
        <v>383</v>
      </c>
      <c r="I24" s="3"/>
      <c r="J24" s="3"/>
    </row>
    <row r="25" spans="1:10" ht="48" customHeight="1">
      <c r="A25" s="21">
        <v>21</v>
      </c>
      <c r="B25" s="22" t="s">
        <v>78</v>
      </c>
      <c r="C25" s="21" t="s">
        <v>77</v>
      </c>
      <c r="D25" s="21" t="s">
        <v>78</v>
      </c>
      <c r="E25" s="21" t="s">
        <v>79</v>
      </c>
      <c r="F25" s="21" t="s">
        <v>80</v>
      </c>
      <c r="G25" s="21" t="s">
        <v>3</v>
      </c>
      <c r="H25" s="22" t="s">
        <v>384</v>
      </c>
      <c r="I25" s="3"/>
      <c r="J25" s="3"/>
    </row>
    <row r="26" spans="1:10" ht="48" customHeight="1">
      <c r="A26" s="21">
        <v>22</v>
      </c>
      <c r="B26" s="22" t="s">
        <v>78</v>
      </c>
      <c r="C26" s="21" t="s">
        <v>77</v>
      </c>
      <c r="D26" s="21" t="s">
        <v>78</v>
      </c>
      <c r="E26" s="21" t="s">
        <v>79</v>
      </c>
      <c r="F26" s="21" t="s">
        <v>80</v>
      </c>
      <c r="G26" s="21" t="s">
        <v>3</v>
      </c>
      <c r="H26" s="22" t="s">
        <v>384</v>
      </c>
      <c r="I26" s="3"/>
      <c r="J26" s="3"/>
    </row>
    <row r="27" spans="1:10" ht="48" customHeight="1">
      <c r="A27" s="21">
        <v>23</v>
      </c>
      <c r="B27" s="22" t="s">
        <v>84</v>
      </c>
      <c r="C27" s="21" t="s">
        <v>21</v>
      </c>
      <c r="D27" s="21" t="s">
        <v>20</v>
      </c>
      <c r="E27" s="21" t="s">
        <v>21</v>
      </c>
      <c r="F27" s="21" t="s">
        <v>20</v>
      </c>
      <c r="G27" s="21" t="s">
        <v>2</v>
      </c>
      <c r="H27" s="22" t="s">
        <v>385</v>
      </c>
      <c r="I27" s="3"/>
      <c r="J27" s="3"/>
    </row>
    <row r="28" spans="1:10" ht="48" customHeight="1">
      <c r="A28" s="21">
        <v>24</v>
      </c>
      <c r="B28" s="22" t="s">
        <v>86</v>
      </c>
      <c r="C28" s="21" t="s">
        <v>87</v>
      </c>
      <c r="D28" s="21" t="s">
        <v>88</v>
      </c>
      <c r="E28" s="21" t="s">
        <v>21</v>
      </c>
      <c r="F28" s="21" t="s">
        <v>20</v>
      </c>
      <c r="G28" s="21" t="s">
        <v>4</v>
      </c>
      <c r="H28" s="22" t="s">
        <v>386</v>
      </c>
      <c r="I28" s="3"/>
      <c r="J28" s="3"/>
    </row>
    <row r="29" spans="1:10" ht="48" customHeight="1">
      <c r="A29" s="21">
        <v>25</v>
      </c>
      <c r="B29" s="22" t="s">
        <v>84</v>
      </c>
      <c r="C29" s="21" t="s">
        <v>21</v>
      </c>
      <c r="D29" s="21" t="s">
        <v>20</v>
      </c>
      <c r="E29" s="21" t="s">
        <v>21</v>
      </c>
      <c r="F29" s="21" t="s">
        <v>20</v>
      </c>
      <c r="G29" s="21" t="s">
        <v>2</v>
      </c>
      <c r="H29" s="22" t="s">
        <v>387</v>
      </c>
      <c r="I29" s="3"/>
      <c r="J29" s="3"/>
    </row>
    <row r="30" spans="1:10" ht="48" customHeight="1">
      <c r="A30" s="4">
        <v>26</v>
      </c>
      <c r="B30" s="3" t="s">
        <v>91</v>
      </c>
      <c r="C30" s="4" t="s">
        <v>19</v>
      </c>
      <c r="D30" s="4" t="s">
        <v>20</v>
      </c>
      <c r="E30" s="4" t="s">
        <v>21</v>
      </c>
      <c r="F30" s="4" t="s">
        <v>20</v>
      </c>
      <c r="G30" s="4" t="s">
        <v>2</v>
      </c>
      <c r="H30" s="3" t="s">
        <v>374</v>
      </c>
      <c r="I30" s="3"/>
      <c r="J30" s="3"/>
    </row>
    <row r="31" spans="1:10" ht="48" customHeight="1">
      <c r="A31" s="4">
        <v>27</v>
      </c>
      <c r="B31" s="3" t="s">
        <v>93</v>
      </c>
      <c r="C31" s="4" t="s">
        <v>19</v>
      </c>
      <c r="D31" s="4" t="s">
        <v>20</v>
      </c>
      <c r="E31" s="4" t="s">
        <v>21</v>
      </c>
      <c r="F31" s="4" t="s">
        <v>20</v>
      </c>
      <c r="G31" s="4" t="s">
        <v>2</v>
      </c>
      <c r="H31" s="3" t="s">
        <v>388</v>
      </c>
      <c r="I31" s="3"/>
      <c r="J31" s="3"/>
    </row>
    <row r="32" spans="1:10" ht="48" customHeight="1">
      <c r="A32" s="4">
        <v>28</v>
      </c>
      <c r="B32" s="3" t="s">
        <v>95</v>
      </c>
      <c r="C32" s="4" t="s">
        <v>19</v>
      </c>
      <c r="D32" s="4" t="s">
        <v>20</v>
      </c>
      <c r="E32" s="4" t="s">
        <v>21</v>
      </c>
      <c r="F32" s="4" t="s">
        <v>20</v>
      </c>
      <c r="G32" s="4" t="s">
        <v>2</v>
      </c>
      <c r="H32" s="3" t="s">
        <v>389</v>
      </c>
      <c r="I32" s="3"/>
      <c r="J32" s="3"/>
    </row>
    <row r="33" spans="1:10" ht="48" customHeight="1">
      <c r="A33" s="21">
        <v>29</v>
      </c>
      <c r="B33" s="22" t="s">
        <v>97</v>
      </c>
      <c r="C33" s="21" t="s">
        <v>98</v>
      </c>
      <c r="D33" s="21" t="s">
        <v>88</v>
      </c>
      <c r="E33" s="21" t="s">
        <v>21</v>
      </c>
      <c r="F33" s="21" t="s">
        <v>20</v>
      </c>
      <c r="G33" s="21" t="s">
        <v>4</v>
      </c>
      <c r="H33" s="22" t="s">
        <v>390</v>
      </c>
      <c r="I33" s="3"/>
      <c r="J33" s="3"/>
    </row>
    <row r="34" spans="1:10" ht="48" customHeight="1">
      <c r="A34" s="4">
        <v>30</v>
      </c>
      <c r="B34" s="3" t="s">
        <v>100</v>
      </c>
      <c r="C34" s="4" t="s">
        <v>19</v>
      </c>
      <c r="D34" s="4" t="s">
        <v>20</v>
      </c>
      <c r="E34" s="4" t="s">
        <v>21</v>
      </c>
      <c r="F34" s="4" t="s">
        <v>20</v>
      </c>
      <c r="G34" s="4" t="s">
        <v>2</v>
      </c>
      <c r="H34" s="3" t="s">
        <v>374</v>
      </c>
      <c r="I34" s="3"/>
      <c r="J34" s="3"/>
    </row>
    <row r="35" spans="1:10" ht="48" customHeight="1">
      <c r="A35" s="4">
        <v>31</v>
      </c>
      <c r="B35" s="3" t="s">
        <v>102</v>
      </c>
      <c r="C35" s="4" t="s">
        <v>103</v>
      </c>
      <c r="D35" s="4" t="s">
        <v>104</v>
      </c>
      <c r="E35" s="4" t="s">
        <v>105</v>
      </c>
      <c r="F35" s="4" t="s">
        <v>104</v>
      </c>
      <c r="G35" s="4" t="s">
        <v>2</v>
      </c>
      <c r="H35" s="3" t="s">
        <v>391</v>
      </c>
      <c r="I35" s="3"/>
      <c r="J35" s="3"/>
    </row>
    <row r="36" spans="1:10" ht="48" customHeight="1">
      <c r="A36" s="4">
        <v>32</v>
      </c>
      <c r="B36" s="3" t="s">
        <v>50</v>
      </c>
      <c r="C36" s="4" t="s">
        <v>19</v>
      </c>
      <c r="D36" s="4" t="s">
        <v>20</v>
      </c>
      <c r="E36" s="4" t="s">
        <v>21</v>
      </c>
      <c r="F36" s="4" t="s">
        <v>20</v>
      </c>
      <c r="G36" s="4" t="s">
        <v>2</v>
      </c>
      <c r="H36" s="3" t="s">
        <v>374</v>
      </c>
      <c r="I36" s="3"/>
      <c r="J36" s="3"/>
    </row>
    <row r="37" spans="1:10" ht="48" customHeight="1">
      <c r="A37" s="4">
        <v>33</v>
      </c>
      <c r="B37" s="3" t="s">
        <v>107</v>
      </c>
      <c r="C37" s="4" t="s">
        <v>19</v>
      </c>
      <c r="D37" s="4" t="s">
        <v>20</v>
      </c>
      <c r="E37" s="4" t="s">
        <v>21</v>
      </c>
      <c r="F37" s="4" t="s">
        <v>20</v>
      </c>
      <c r="G37" s="4" t="s">
        <v>2</v>
      </c>
      <c r="H37" s="3" t="s">
        <v>392</v>
      </c>
      <c r="I37" s="3"/>
      <c r="J37" s="3"/>
    </row>
    <row r="38" spans="1:10" ht="48" customHeight="1">
      <c r="A38" s="4">
        <v>34</v>
      </c>
      <c r="B38" s="3" t="s">
        <v>52</v>
      </c>
      <c r="C38" s="4" t="s">
        <v>19</v>
      </c>
      <c r="D38" s="4" t="s">
        <v>20</v>
      </c>
      <c r="E38" s="4" t="s">
        <v>21</v>
      </c>
      <c r="F38" s="4" t="s">
        <v>20</v>
      </c>
      <c r="G38" s="4" t="s">
        <v>2</v>
      </c>
      <c r="H38" s="3" t="s">
        <v>375</v>
      </c>
      <c r="I38" s="3"/>
      <c r="J38" s="3"/>
    </row>
    <row r="39" spans="1:10" ht="48" customHeight="1">
      <c r="A39" s="4">
        <v>35</v>
      </c>
      <c r="B39" s="3" t="s">
        <v>52</v>
      </c>
      <c r="C39" s="4" t="s">
        <v>19</v>
      </c>
      <c r="D39" s="4" t="s">
        <v>20</v>
      </c>
      <c r="E39" s="4" t="s">
        <v>21</v>
      </c>
      <c r="F39" s="4" t="s">
        <v>20</v>
      </c>
      <c r="G39" s="4" t="s">
        <v>2</v>
      </c>
      <c r="H39" s="3" t="s">
        <v>375</v>
      </c>
      <c r="I39" s="3"/>
      <c r="J39" s="3"/>
    </row>
    <row r="40" spans="1:10" ht="48" customHeight="1">
      <c r="A40" s="4">
        <v>36</v>
      </c>
      <c r="B40" s="3" t="s">
        <v>109</v>
      </c>
      <c r="C40" s="4" t="s">
        <v>19</v>
      </c>
      <c r="D40" s="4" t="s">
        <v>20</v>
      </c>
      <c r="E40" s="4" t="s">
        <v>21</v>
      </c>
      <c r="F40" s="4" t="s">
        <v>20</v>
      </c>
      <c r="G40" s="4" t="s">
        <v>2</v>
      </c>
      <c r="H40" s="3" t="s">
        <v>374</v>
      </c>
      <c r="I40" s="3"/>
      <c r="J40" s="3"/>
    </row>
    <row r="41" spans="1:10" ht="48" customHeight="1">
      <c r="A41" s="4">
        <v>37</v>
      </c>
      <c r="B41" s="3" t="s">
        <v>62</v>
      </c>
      <c r="C41" s="4" t="s">
        <v>63</v>
      </c>
      <c r="D41" s="4" t="s">
        <v>62</v>
      </c>
      <c r="E41" s="4" t="s">
        <v>63</v>
      </c>
      <c r="F41" s="4" t="s">
        <v>62</v>
      </c>
      <c r="G41" s="4" t="s">
        <v>2</v>
      </c>
      <c r="H41" s="3" t="s">
        <v>378</v>
      </c>
      <c r="I41" s="3"/>
      <c r="J41" s="3"/>
    </row>
    <row r="42" spans="1:10" ht="48" customHeight="1">
      <c r="A42" s="4">
        <v>38</v>
      </c>
      <c r="B42" s="3" t="s">
        <v>111</v>
      </c>
      <c r="C42" s="4" t="s">
        <v>110</v>
      </c>
      <c r="D42" s="4" t="s">
        <v>111</v>
      </c>
      <c r="E42" s="4" t="s">
        <v>112</v>
      </c>
      <c r="F42" s="4" t="s">
        <v>113</v>
      </c>
      <c r="G42" s="4" t="s">
        <v>2</v>
      </c>
      <c r="H42" s="3" t="s">
        <v>393</v>
      </c>
      <c r="I42" s="3"/>
      <c r="J42" s="3"/>
    </row>
    <row r="43" spans="1:10" ht="48" customHeight="1">
      <c r="A43" s="4">
        <v>39</v>
      </c>
      <c r="B43" s="3" t="s">
        <v>62</v>
      </c>
      <c r="C43" s="4" t="s">
        <v>63</v>
      </c>
      <c r="D43" s="4" t="s">
        <v>62</v>
      </c>
      <c r="E43" s="4" t="s">
        <v>63</v>
      </c>
      <c r="F43" s="4" t="s">
        <v>62</v>
      </c>
      <c r="G43" s="4" t="s">
        <v>2</v>
      </c>
      <c r="H43" s="3" t="s">
        <v>378</v>
      </c>
      <c r="I43" s="3"/>
      <c r="J43" s="3"/>
    </row>
    <row r="44" spans="1:10" ht="48" customHeight="1">
      <c r="A44" s="4">
        <v>40</v>
      </c>
      <c r="B44" s="3" t="s">
        <v>20</v>
      </c>
      <c r="C44" s="4" t="s">
        <v>21</v>
      </c>
      <c r="D44" s="4" t="s">
        <v>20</v>
      </c>
      <c r="E44" s="4" t="s">
        <v>21</v>
      </c>
      <c r="F44" s="4" t="s">
        <v>20</v>
      </c>
      <c r="G44" s="4" t="s">
        <v>2</v>
      </c>
      <c r="H44" s="3" t="s">
        <v>394</v>
      </c>
      <c r="I44" s="3"/>
      <c r="J44" s="3"/>
    </row>
    <row r="45" spans="1:10" ht="48" customHeight="1">
      <c r="A45" s="4">
        <v>41</v>
      </c>
      <c r="B45" s="3" t="s">
        <v>116</v>
      </c>
      <c r="C45" s="4" t="s">
        <v>19</v>
      </c>
      <c r="D45" s="4" t="s">
        <v>20</v>
      </c>
      <c r="E45" s="4" t="s">
        <v>21</v>
      </c>
      <c r="F45" s="4" t="s">
        <v>20</v>
      </c>
      <c r="G45" s="4" t="s">
        <v>2</v>
      </c>
      <c r="H45" s="3" t="s">
        <v>395</v>
      </c>
      <c r="I45" s="3"/>
      <c r="J45" s="3"/>
    </row>
    <row r="46" spans="1:10" ht="48" customHeight="1">
      <c r="A46" s="4">
        <v>42</v>
      </c>
      <c r="B46" s="3" t="s">
        <v>119</v>
      </c>
      <c r="C46" s="4" t="s">
        <v>32</v>
      </c>
      <c r="D46" s="4" t="s">
        <v>33</v>
      </c>
      <c r="E46" s="4" t="s">
        <v>34</v>
      </c>
      <c r="F46" s="4" t="s">
        <v>33</v>
      </c>
      <c r="G46" s="4" t="s">
        <v>2</v>
      </c>
      <c r="H46" s="3" t="s">
        <v>396</v>
      </c>
      <c r="I46" s="3"/>
      <c r="J46" s="3"/>
    </row>
    <row r="47" spans="1:10" ht="48" customHeight="1">
      <c r="A47" s="4">
        <v>43</v>
      </c>
      <c r="B47" s="3" t="s">
        <v>121</v>
      </c>
      <c r="C47" s="4" t="s">
        <v>32</v>
      </c>
      <c r="D47" s="4" t="s">
        <v>33</v>
      </c>
      <c r="E47" s="4" t="s">
        <v>34</v>
      </c>
      <c r="F47" s="4" t="s">
        <v>33</v>
      </c>
      <c r="G47" s="4" t="s">
        <v>2</v>
      </c>
      <c r="H47" s="3" t="s">
        <v>397</v>
      </c>
      <c r="I47" s="3"/>
      <c r="J47" s="3"/>
    </row>
    <row r="48" spans="1:10" ht="48" customHeight="1">
      <c r="A48" s="4">
        <v>44</v>
      </c>
      <c r="B48" s="3" t="s">
        <v>123</v>
      </c>
      <c r="C48" s="4" t="s">
        <v>32</v>
      </c>
      <c r="D48" s="4" t="s">
        <v>33</v>
      </c>
      <c r="E48" s="4" t="s">
        <v>34</v>
      </c>
      <c r="F48" s="4" t="s">
        <v>33</v>
      </c>
      <c r="G48" s="4" t="s">
        <v>2</v>
      </c>
      <c r="H48" s="3" t="s">
        <v>398</v>
      </c>
      <c r="I48" s="3"/>
      <c r="J48" s="3"/>
    </row>
    <row r="49" spans="1:10" ht="48" customHeight="1">
      <c r="A49" s="21">
        <v>45</v>
      </c>
      <c r="B49" s="22" t="s">
        <v>31</v>
      </c>
      <c r="C49" s="21" t="s">
        <v>40</v>
      </c>
      <c r="D49" s="21" t="s">
        <v>41</v>
      </c>
      <c r="E49" s="21" t="s">
        <v>42</v>
      </c>
      <c r="F49" s="21" t="s">
        <v>43</v>
      </c>
      <c r="G49" s="21" t="s">
        <v>3</v>
      </c>
      <c r="H49" s="22" t="s">
        <v>399</v>
      </c>
      <c r="I49" s="3"/>
      <c r="J49" s="3"/>
    </row>
    <row r="50" spans="1:10" ht="48" customHeight="1">
      <c r="A50" s="21">
        <v>46</v>
      </c>
      <c r="B50" s="22" t="s">
        <v>126</v>
      </c>
      <c r="C50" s="21" t="s">
        <v>127</v>
      </c>
      <c r="D50" s="21" t="s">
        <v>128</v>
      </c>
      <c r="E50" s="21" t="s">
        <v>127</v>
      </c>
      <c r="F50" s="21" t="s">
        <v>128</v>
      </c>
      <c r="G50" s="21" t="s">
        <v>2</v>
      </c>
      <c r="H50" s="22" t="s">
        <v>400</v>
      </c>
      <c r="I50" s="3"/>
      <c r="J50" s="3"/>
    </row>
    <row r="51" spans="1:10" ht="48" customHeight="1">
      <c r="A51" s="4">
        <v>47</v>
      </c>
      <c r="B51" s="3" t="s">
        <v>130</v>
      </c>
      <c r="C51" s="4" t="s">
        <v>40</v>
      </c>
      <c r="D51" s="4" t="s">
        <v>41</v>
      </c>
      <c r="E51" s="4" t="s">
        <v>42</v>
      </c>
      <c r="F51" s="4" t="s">
        <v>43</v>
      </c>
      <c r="G51" s="4" t="s">
        <v>2</v>
      </c>
      <c r="H51" s="3" t="s">
        <v>401</v>
      </c>
      <c r="I51" s="3"/>
      <c r="J51" s="3"/>
    </row>
    <row r="52" spans="1:10" ht="48" customHeight="1">
      <c r="A52" s="21">
        <v>48</v>
      </c>
      <c r="B52" s="22" t="s">
        <v>38</v>
      </c>
      <c r="C52" s="21" t="s">
        <v>40</v>
      </c>
      <c r="D52" s="21" t="s">
        <v>41</v>
      </c>
      <c r="E52" s="21" t="s">
        <v>42</v>
      </c>
      <c r="F52" s="21" t="s">
        <v>43</v>
      </c>
      <c r="G52" s="21" t="s">
        <v>3</v>
      </c>
      <c r="H52" s="22" t="s">
        <v>402</v>
      </c>
      <c r="I52" s="3"/>
      <c r="J52" s="3"/>
    </row>
    <row r="53" spans="1:10" ht="48" customHeight="1">
      <c r="A53" s="21">
        <v>49</v>
      </c>
      <c r="B53" s="22" t="s">
        <v>133</v>
      </c>
      <c r="C53" s="21" t="s">
        <v>40</v>
      </c>
      <c r="D53" s="21" t="s">
        <v>41</v>
      </c>
      <c r="E53" s="21" t="s">
        <v>42</v>
      </c>
      <c r="F53" s="21" t="s">
        <v>43</v>
      </c>
      <c r="G53" s="21" t="s">
        <v>4</v>
      </c>
      <c r="H53" s="22" t="s">
        <v>403</v>
      </c>
      <c r="I53" s="3"/>
      <c r="J53" s="3"/>
    </row>
    <row r="54" spans="1:10" ht="48" customHeight="1">
      <c r="A54" s="21">
        <v>50</v>
      </c>
      <c r="B54" s="22" t="s">
        <v>135</v>
      </c>
      <c r="C54" s="21" t="s">
        <v>105</v>
      </c>
      <c r="D54" s="21" t="s">
        <v>104</v>
      </c>
      <c r="E54" s="21" t="s">
        <v>105</v>
      </c>
      <c r="F54" s="21" t="s">
        <v>104</v>
      </c>
      <c r="G54" s="21" t="s">
        <v>2</v>
      </c>
      <c r="H54" s="22" t="s">
        <v>404</v>
      </c>
      <c r="I54" s="3"/>
      <c r="J54" s="3"/>
    </row>
    <row r="55" spans="1:10" ht="48" customHeight="1">
      <c r="A55" s="21">
        <v>51</v>
      </c>
      <c r="B55" s="22" t="s">
        <v>137</v>
      </c>
      <c r="C55" s="21" t="s">
        <v>21</v>
      </c>
      <c r="D55" s="21" t="s">
        <v>20</v>
      </c>
      <c r="E55" s="21" t="s">
        <v>21</v>
      </c>
      <c r="F55" s="21" t="s">
        <v>20</v>
      </c>
      <c r="G55" s="21" t="s">
        <v>2</v>
      </c>
      <c r="H55" s="22" t="s">
        <v>405</v>
      </c>
      <c r="I55" s="3"/>
      <c r="J55" s="3"/>
    </row>
    <row r="56" spans="1:10" ht="48" customHeight="1">
      <c r="A56" s="21">
        <v>52</v>
      </c>
      <c r="B56" s="22" t="s">
        <v>137</v>
      </c>
      <c r="C56" s="21" t="s">
        <v>21</v>
      </c>
      <c r="D56" s="21" t="s">
        <v>20</v>
      </c>
      <c r="E56" s="21" t="s">
        <v>21</v>
      </c>
      <c r="F56" s="21" t="s">
        <v>20</v>
      </c>
      <c r="G56" s="21" t="s">
        <v>2</v>
      </c>
      <c r="H56" s="22" t="s">
        <v>405</v>
      </c>
      <c r="I56" s="3"/>
      <c r="J56" s="3"/>
    </row>
    <row r="57" spans="1:10" ht="48" customHeight="1">
      <c r="A57" s="21">
        <v>53</v>
      </c>
      <c r="B57" s="22" t="s">
        <v>36</v>
      </c>
      <c r="C57" s="21" t="s">
        <v>40</v>
      </c>
      <c r="D57" s="21" t="s">
        <v>41</v>
      </c>
      <c r="E57" s="21" t="s">
        <v>42</v>
      </c>
      <c r="F57" s="21" t="s">
        <v>43</v>
      </c>
      <c r="G57" s="21" t="s">
        <v>3</v>
      </c>
      <c r="H57" s="22" t="s">
        <v>406</v>
      </c>
      <c r="I57" s="3"/>
      <c r="J57" s="3"/>
    </row>
    <row r="58" spans="1:10" ht="48" customHeight="1">
      <c r="A58" s="21">
        <v>54</v>
      </c>
      <c r="B58" s="22" t="s">
        <v>36</v>
      </c>
      <c r="C58" s="21" t="s">
        <v>40</v>
      </c>
      <c r="D58" s="21" t="s">
        <v>41</v>
      </c>
      <c r="E58" s="21" t="s">
        <v>42</v>
      </c>
      <c r="F58" s="21" t="s">
        <v>43</v>
      </c>
      <c r="G58" s="21" t="s">
        <v>3</v>
      </c>
      <c r="H58" s="22" t="s">
        <v>407</v>
      </c>
      <c r="I58" s="3"/>
      <c r="J58" s="3"/>
    </row>
    <row r="59" spans="1:10" ht="48" customHeight="1">
      <c r="A59" s="4">
        <v>55</v>
      </c>
      <c r="B59" s="3" t="s">
        <v>33</v>
      </c>
      <c r="C59" s="4" t="s">
        <v>32</v>
      </c>
      <c r="D59" s="4" t="s">
        <v>33</v>
      </c>
      <c r="E59" s="4" t="s">
        <v>34</v>
      </c>
      <c r="F59" s="4" t="s">
        <v>33</v>
      </c>
      <c r="G59" s="4" t="s">
        <v>2</v>
      </c>
      <c r="H59" s="3" t="s">
        <v>369</v>
      </c>
      <c r="I59" s="3"/>
      <c r="J59" s="3"/>
    </row>
    <row r="60" spans="1:10" ht="48" customHeight="1">
      <c r="A60" s="4">
        <v>56</v>
      </c>
      <c r="B60" s="3" t="s">
        <v>140</v>
      </c>
      <c r="C60" s="4" t="s">
        <v>19</v>
      </c>
      <c r="D60" s="4" t="s">
        <v>20</v>
      </c>
      <c r="E60" s="4" t="s">
        <v>21</v>
      </c>
      <c r="F60" s="4" t="s">
        <v>20</v>
      </c>
      <c r="G60" s="4" t="s">
        <v>2</v>
      </c>
      <c r="H60" s="3" t="s">
        <v>408</v>
      </c>
      <c r="I60" s="3"/>
      <c r="J60" s="3"/>
    </row>
    <row r="61" spans="1:10" ht="48" customHeight="1">
      <c r="A61" s="4">
        <v>57</v>
      </c>
      <c r="B61" s="3" t="s">
        <v>142</v>
      </c>
      <c r="C61" s="4" t="s">
        <v>143</v>
      </c>
      <c r="D61" s="4" t="s">
        <v>56</v>
      </c>
      <c r="E61" s="4" t="s">
        <v>57</v>
      </c>
      <c r="F61" s="4" t="s">
        <v>56</v>
      </c>
      <c r="G61" s="4" t="s">
        <v>2</v>
      </c>
      <c r="H61" s="3" t="s">
        <v>409</v>
      </c>
      <c r="I61" s="3"/>
      <c r="J61" s="3"/>
    </row>
    <row r="62" spans="1:10" ht="48" customHeight="1">
      <c r="A62" s="4">
        <v>58</v>
      </c>
      <c r="B62" s="3" t="s">
        <v>145</v>
      </c>
      <c r="C62" s="4" t="s">
        <v>68</v>
      </c>
      <c r="D62" s="4" t="s">
        <v>20</v>
      </c>
      <c r="E62" s="4" t="s">
        <v>21</v>
      </c>
      <c r="F62" s="4" t="s">
        <v>20</v>
      </c>
      <c r="G62" s="4" t="s">
        <v>2</v>
      </c>
      <c r="H62" s="3" t="s">
        <v>410</v>
      </c>
      <c r="I62" s="3"/>
      <c r="J62" s="3"/>
    </row>
    <row r="63" spans="1:10" ht="48" customHeight="1">
      <c r="A63" s="4">
        <v>59</v>
      </c>
      <c r="B63" s="3" t="s">
        <v>147</v>
      </c>
      <c r="C63" s="4" t="s">
        <v>148</v>
      </c>
      <c r="D63" s="4" t="s">
        <v>62</v>
      </c>
      <c r="E63" s="4" t="s">
        <v>63</v>
      </c>
      <c r="F63" s="4" t="s">
        <v>62</v>
      </c>
      <c r="G63" s="4" t="s">
        <v>2</v>
      </c>
      <c r="H63" s="3" t="s">
        <v>411</v>
      </c>
      <c r="I63" s="3"/>
      <c r="J63" s="3"/>
    </row>
    <row r="64" spans="1:10" ht="48" customHeight="1">
      <c r="A64" s="4">
        <v>60</v>
      </c>
      <c r="B64" s="3" t="s">
        <v>72</v>
      </c>
      <c r="C64" s="4" t="s">
        <v>71</v>
      </c>
      <c r="D64" s="4" t="s">
        <v>72</v>
      </c>
      <c r="E64" s="4" t="s">
        <v>57</v>
      </c>
      <c r="F64" s="4" t="s">
        <v>56</v>
      </c>
      <c r="G64" s="4" t="s">
        <v>2</v>
      </c>
      <c r="H64" s="3" t="s">
        <v>381</v>
      </c>
      <c r="I64" s="3"/>
      <c r="J64" s="3"/>
    </row>
  </sheetData>
  <mergeCells count="2">
    <mergeCell ref="A1:H1"/>
    <mergeCell ref="A2:J2"/>
  </mergeCells>
  <conditionalFormatting sqref="E5:E64">
    <cfRule type="expression" dxfId="8" priority="1">
      <formula>E5="CORRECT"</formula>
    </cfRule>
    <cfRule type="expression" dxfId="7" priority="2">
      <formula>E5="INCORRECT"</formula>
    </cfRule>
    <cfRule type="expression" dxfId="6" priority="3">
      <formula>E5="AMBIGUOUS"</formula>
    </cfRule>
    <cfRule type="expression" dxfId="5" priority="4">
      <formula>E5="CORRECT"</formula>
    </cfRule>
    <cfRule type="expression" dxfId="4" priority="5">
      <formula>E5="INCORRECT"</formula>
    </cfRule>
    <cfRule type="expression" dxfId="3" priority="6">
      <formula>E5="AMBIGUOUS"</formula>
    </cfRule>
  </conditionalFormatting>
  <conditionalFormatting sqref="G5:G64">
    <cfRule type="expression" dxfId="2" priority="7">
      <formula>G5="CORRECT"</formula>
    </cfRule>
    <cfRule type="expression" dxfId="1" priority="8">
      <formula>G5="INCORRECT"</formula>
    </cfRule>
    <cfRule type="expression" dxfId="0" priority="9">
      <formula>G5="AMBIGUOUS"</formula>
    </cfRule>
  </conditionalFormatting>
  <dataValidations count="1">
    <dataValidation type="list" sqref="G5:G64 I5:I64" xr:uid="{00000000-0002-0000-0300-000000000000}">
      <formula1>"CORRECT,INCORRECT,AMBIGUOUS"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2026-09-16T05:51:49Z</dcterms:created>
  <dcterms:modified xsi:type="dcterms:W3CDTF">2026-09-16T05:51:49Z</dcterms:modified>
  <cp:category/>
  <cp:contentStatus/>
</cp:coreProperties>
</file>